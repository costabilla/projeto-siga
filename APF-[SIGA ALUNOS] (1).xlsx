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12"/>
  <workbookPr codeName="EstaPasta_de_trabalho"/>
  <xr:revisionPtr revIDLastSave="0" documentId="8_{F1807AF8-7806-4546-9164-6CFADE522184}" xr6:coauthVersionLast="47" xr6:coauthVersionMax="47" xr10:uidLastSave="{00000000-0000-0000-0000-000000000000}"/>
  <bookViews>
    <workbookView xWindow="165" yWindow="60" windowWidth="19440" windowHeight="11700" tabRatio="570" xr2:uid="{00000000-000D-0000-FFFF-FFFF00000000}"/>
  </bookViews>
  <sheets>
    <sheet name="Contagem" sheetId="1" r:id="rId1"/>
    <sheet name="Funções" sheetId="2" r:id="rId2"/>
    <sheet name="Sumário" sheetId="3" r:id="rId3"/>
    <sheet name="Estimativas" sheetId="4" r:id="rId4"/>
    <sheet name="Pesos IFPUG" sheetId="5" r:id="rId5"/>
  </sheets>
  <definedNames>
    <definedName name="_xlnm.Print_Area" localSheetId="1">Funções!$A$1:$U$40</definedName>
    <definedName name="_xlnm.Print_Area" localSheetId="2">Sumário!$A$1:$L$59</definedName>
    <definedName name="CF">Funções!$L$8:$L$40</definedName>
    <definedName name="Data">Contagem!$X$7</definedName>
    <definedName name="Projeto">Contagem!$F$6</definedName>
    <definedName name="Responsável">Contagem!$F$7</definedName>
    <definedName name="Revisão">Contagem!$X$8</definedName>
    <definedName name="Revisor">Contagem!$F$8</definedName>
    <definedName name="_xlnm.Print_Titles" localSheetId="1">Funções!$1:$7</definedName>
    <definedName name="UFPB">Contagem!$Y$11</definedName>
    <definedName name="VAF">#REF!</definedName>
    <definedName name="VAFA">#REF!</definedName>
    <definedName name="VAFB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6" i="3" l="1"/>
  <c r="C40" i="3"/>
  <c r="C39" i="3"/>
  <c r="C38" i="3"/>
  <c r="C26" i="3"/>
  <c r="C25" i="3"/>
  <c r="C24" i="3"/>
  <c r="C19" i="3"/>
  <c r="C18" i="3"/>
  <c r="C17" i="3"/>
  <c r="C11" i="3"/>
  <c r="C12" i="3"/>
  <c r="C14" i="3"/>
  <c r="C10" i="3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8" i="2"/>
  <c r="E58" i="3"/>
  <c r="S13" i="1"/>
  <c r="Y13" i="1" s="1"/>
  <c r="E57" i="3"/>
  <c r="S12" i="1" s="1"/>
  <c r="Y12" i="1" s="1"/>
  <c r="E56" i="3"/>
  <c r="A4" i="2"/>
  <c r="H4" i="2"/>
  <c r="A5" i="2"/>
  <c r="H5" i="2"/>
  <c r="A6" i="2"/>
  <c r="F6" i="2"/>
  <c r="F58" i="3"/>
  <c r="F57" i="3"/>
  <c r="G57" i="3" s="1"/>
  <c r="F56" i="3"/>
  <c r="G56" i="3" s="1"/>
  <c r="F55" i="3"/>
  <c r="A4" i="3"/>
  <c r="F4" i="3"/>
  <c r="A5" i="3"/>
  <c r="F5" i="3"/>
  <c r="A6" i="3"/>
  <c r="F6" i="3"/>
  <c r="G58" i="3"/>
  <c r="C33" i="3"/>
  <c r="G33" i="3"/>
  <c r="G25" i="3"/>
  <c r="G24" i="3"/>
  <c r="G12" i="3"/>
  <c r="G26" i="3"/>
  <c r="C31" i="3"/>
  <c r="G31" i="3" s="1"/>
  <c r="C32" i="3"/>
  <c r="G32" i="3" s="1"/>
  <c r="G39" i="3"/>
  <c r="G18" i="3"/>
  <c r="G40" i="3"/>
  <c r="G19" i="3"/>
  <c r="G10" i="3"/>
  <c r="G17" i="3"/>
  <c r="G21" i="3" s="1"/>
  <c r="C21" i="3"/>
  <c r="G38" i="3"/>
  <c r="C28" i="3"/>
  <c r="E55" i="3"/>
  <c r="S10" i="1" s="1"/>
  <c r="Y10" i="1" s="1"/>
  <c r="G55" i="3"/>
  <c r="C42" i="3"/>
  <c r="G11" i="3"/>
  <c r="S11" i="1"/>
  <c r="Y11" i="1" s="1"/>
  <c r="G42" i="3" l="1"/>
  <c r="G35" i="3"/>
  <c r="W5" i="1"/>
  <c r="G14" i="3"/>
  <c r="G28" i="3"/>
  <c r="G47" i="3"/>
  <c r="C35" i="3"/>
  <c r="G45" i="3" l="1"/>
  <c r="I42" i="3"/>
  <c r="I14" i="3"/>
  <c r="I35" i="3"/>
  <c r="I21" i="3"/>
  <c r="I28" i="3"/>
  <c r="B3" i="4"/>
  <c r="O6" i="2"/>
  <c r="K56" i="3"/>
  <c r="W4" i="1"/>
  <c r="K6" i="3"/>
  <c r="B27" i="4" l="1"/>
  <c r="B28" i="4"/>
  <c r="B32" i="4"/>
  <c r="B30" i="4"/>
  <c r="B29" i="4"/>
  <c r="B10" i="4"/>
  <c r="I6" i="2"/>
  <c r="H6" i="3"/>
  <c r="B15" i="4" l="1"/>
  <c r="B18" i="4"/>
  <c r="B12" i="4"/>
  <c r="B23" i="4"/>
  <c r="B17" i="4"/>
  <c r="B21" i="4"/>
  <c r="B24" i="4"/>
  <c r="B22" i="4"/>
  <c r="B1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5" authorId="0" shapeId="0" xr:uid="{00000000-0006-0000-0000-000001000000}">
      <text>
        <r>
          <rPr>
            <sz val="8"/>
            <color indexed="8"/>
            <rFont val="Times New Roman"/>
            <family val="1"/>
          </rPr>
          <t>O propósito de uma contagem de pontos de função, é fornecer uma resposta a um problema de negócios.
Este propósito :  
- Determina o tipo de contagem de pontos de função e o escopo da contagem necessária à obtenção da resposta da questão em análise;
- Influencia o posicionamento da fronteira entre o sistema em análise e seu ambiente.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Adm</author>
    <author>Alexandre Luiz Boruschenko Moro</author>
  </authors>
  <commentList>
    <comment ref="A7" authorId="0" shapeId="0" xr:uid="{00000000-0006-0000-0100-000001000000}">
      <text>
        <r>
          <rPr>
            <sz val="8"/>
            <color indexed="8"/>
            <rFont val="Times New Roman"/>
            <family val="1"/>
          </rPr>
          <t>O processo é a menor unidade de atividade significativa para o usuário?
É auto-contido e deixa o negócio da aplicação em um estado consistente?</t>
        </r>
      </text>
    </comment>
    <comment ref="H7" authorId="0" shapeId="0" xr:uid="{00000000-0006-0000-0100-000002000000}">
      <text>
        <r>
          <rPr>
            <sz val="8"/>
            <color indexed="8"/>
            <rFont val="Times New Roman"/>
            <family val="1"/>
          </rPr>
          <t>Tipo de Função:
ALI, AIE, EE, SE, CE</t>
        </r>
      </text>
    </comment>
    <comment ref="I7" authorId="1" shapeId="0" xr:uid="{00000000-0006-0000-0100-000003000000}">
      <text>
        <r>
          <rPr>
            <b/>
            <sz val="8"/>
            <color indexed="81"/>
            <rFont val="Tahoma"/>
            <family val="2"/>
          </rPr>
          <t>Tipo de Manutenção na função: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I</t>
        </r>
        <r>
          <rPr>
            <sz val="8"/>
            <color indexed="81"/>
            <rFont val="Tahoma"/>
            <family val="2"/>
          </rPr>
          <t xml:space="preserve"> -Inclusão  </t>
        </r>
        <r>
          <rPr>
            <b/>
            <sz val="8"/>
            <color indexed="81"/>
            <rFont val="Tahoma"/>
            <family val="2"/>
          </rPr>
          <t>A</t>
        </r>
        <r>
          <rPr>
            <sz val="8"/>
            <color indexed="81"/>
            <rFont val="Tahoma"/>
            <family val="2"/>
          </rPr>
          <t xml:space="preserve"> - Alteração  </t>
        </r>
        <r>
          <rPr>
            <b/>
            <sz val="8"/>
            <color indexed="81"/>
            <rFont val="Tahoma"/>
            <family val="2"/>
          </rPr>
          <t>E</t>
        </r>
        <r>
          <rPr>
            <sz val="8"/>
            <color indexed="81"/>
            <rFont val="Tahoma"/>
            <family val="2"/>
          </rPr>
          <t xml:space="preserve"> - Exclusão</t>
        </r>
      </text>
    </comment>
    <comment ref="J7" authorId="0" shapeId="0" xr:uid="{00000000-0006-0000-0100-000004000000}">
      <text>
        <r>
          <rPr>
            <sz val="8"/>
            <color indexed="8"/>
            <rFont val="Times New Roman"/>
            <family val="1"/>
          </rPr>
          <t>Tipos de Dados (DETs)</t>
        </r>
      </text>
    </comment>
    <comment ref="K7" authorId="0" shapeId="0" xr:uid="{00000000-0006-0000-0100-000005000000}">
      <text>
        <r>
          <rPr>
            <sz val="8"/>
            <color indexed="8"/>
            <rFont val="Times New Roman"/>
            <family val="1"/>
          </rPr>
          <t>Arquivos Referenciados/ Tipos de Registro</t>
        </r>
      </text>
    </comment>
    <comment ref="F38" authorId="2" shapeId="0" xr:uid="{00000000-0006-0000-0100-000006000000}">
      <text>
        <r>
          <rPr>
            <b/>
            <sz val="9"/>
            <color indexed="81"/>
            <rFont val="Tahoma"/>
            <charset val="1"/>
          </rPr>
          <t>Alexandre Luiz Boruschenko Moro:</t>
        </r>
        <r>
          <rPr>
            <sz val="9"/>
            <color indexed="81"/>
            <rFont val="Tahoma"/>
            <charset val="1"/>
          </rPr>
          <t xml:space="preserve">
Duplicado com incluir / popular tela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0" authorId="0" shapeId="0" xr:uid="{00000000-0006-0000-0200-000001000000}">
      <text>
        <r>
          <rPr>
            <sz val="8"/>
            <color indexed="8"/>
            <rFont val="Times New Roman"/>
            <family val="1"/>
          </rPr>
          <t>Entrada Externa</t>
        </r>
      </text>
    </comment>
    <comment ref="B17" authorId="0" shapeId="0" xr:uid="{00000000-0006-0000-0200-000002000000}">
      <text>
        <r>
          <rPr>
            <sz val="8"/>
            <color indexed="8"/>
            <rFont val="Times New Roman"/>
            <family val="1"/>
          </rPr>
          <t>Saída Externa</t>
        </r>
      </text>
    </comment>
    <comment ref="B24" authorId="0" shapeId="0" xr:uid="{00000000-0006-0000-0200-000003000000}">
      <text>
        <r>
          <rPr>
            <sz val="8"/>
            <color indexed="8"/>
            <rFont val="Times New Roman"/>
            <family val="1"/>
          </rPr>
          <t>Consulta Externa</t>
        </r>
      </text>
    </comment>
    <comment ref="B31" authorId="0" shapeId="0" xr:uid="{00000000-0006-0000-0200-000004000000}">
      <text>
        <r>
          <rPr>
            <sz val="8"/>
            <color indexed="8"/>
            <rFont val="Times New Roman"/>
            <family val="1"/>
          </rPr>
          <t>Arquivo Lógico Interno</t>
        </r>
      </text>
    </comment>
    <comment ref="B38" authorId="0" shapeId="0" xr:uid="{00000000-0006-0000-0200-000005000000}">
      <text>
        <r>
          <rPr>
            <sz val="8"/>
            <color indexed="8"/>
            <rFont val="Times New Roman"/>
            <family val="1"/>
          </rPr>
          <t>Arquivo de Interface Externa</t>
        </r>
      </text>
    </comment>
    <comment ref="B46" authorId="0" shapeId="0" xr:uid="{00000000-0006-0000-0200-000006000000}">
      <text>
        <r>
          <rPr>
            <sz val="8"/>
            <color indexed="8"/>
            <rFont val="Times New Roman"/>
            <family val="1"/>
          </rPr>
          <t xml:space="preserve">Técnica de estimativa do tamanho desenvolvida pela NESMA. Assume que os arquivos lógicos são de complexidade baixa e as transações são de complexidade média. </t>
        </r>
      </text>
    </comment>
    <comment ref="B47" authorId="0" shapeId="0" xr:uid="{00000000-0006-0000-0200-000007000000}">
      <text>
        <r>
          <rPr>
            <sz val="8"/>
            <color indexed="8"/>
            <rFont val="Times New Roman"/>
            <family val="1"/>
          </rPr>
          <t>Técnica de estimativa do tamanho desenvolvida pela NESMA. Basie-se apenas nos arquivos lógicos. Assume que cada ALI tem um peso de 35 PF e cada AIE um peso de 15 PF</t>
        </r>
      </text>
    </comment>
  </commentList>
</comments>
</file>

<file path=xl/sharedStrings.xml><?xml version="1.0" encoding="utf-8"?>
<sst xmlns="http://schemas.openxmlformats.org/spreadsheetml/2006/main" count="238" uniqueCount="127">
  <si>
    <t>Identificação da Contagem</t>
  </si>
  <si>
    <t>Empresa</t>
  </si>
  <si>
    <t>TRIBUNAL REGIONAL DO TRABALHO DA 9ª REGIÃO</t>
  </si>
  <si>
    <t>R$/PF</t>
  </si>
  <si>
    <t>Custo</t>
  </si>
  <si>
    <t>Aplicação</t>
  </si>
  <si>
    <t>PF</t>
  </si>
  <si>
    <t>Projeto</t>
  </si>
  <si>
    <t>Responsável</t>
  </si>
  <si>
    <t>Criação</t>
  </si>
  <si>
    <t>Revisor</t>
  </si>
  <si>
    <t>Revisão</t>
  </si>
  <si>
    <t>Tipo de contagem</t>
  </si>
  <si>
    <t>Indicativa</t>
  </si>
  <si>
    <t>Sumário</t>
  </si>
  <si>
    <t>Tamanho Funcional (PF)</t>
  </si>
  <si>
    <t>Deflator</t>
  </si>
  <si>
    <t>PF Local</t>
  </si>
  <si>
    <t>Estimativa</t>
  </si>
  <si>
    <t>ADD</t>
  </si>
  <si>
    <t>Projeto de Desenvolvimento</t>
  </si>
  <si>
    <t>CHG</t>
  </si>
  <si>
    <t>Projeto de Melhoria</t>
  </si>
  <si>
    <t>DEL</t>
  </si>
  <si>
    <t>Aplicação ( Baseline )</t>
  </si>
  <si>
    <t>Propósito da Contagem</t>
  </si>
  <si>
    <t>Escopo da Contagem</t>
  </si>
  <si>
    <t xml:space="preserve"> Planilha de contagem de ponto de função - Versão 2.0</t>
  </si>
  <si>
    <t>Função</t>
  </si>
  <si>
    <t>REF.</t>
  </si>
  <si>
    <t>Tipo</t>
  </si>
  <si>
    <t>(I/A/E)</t>
  </si>
  <si>
    <t>TD</t>
  </si>
  <si>
    <t>AR/TR</t>
  </si>
  <si>
    <t>ctl</t>
  </si>
  <si>
    <t>C</t>
  </si>
  <si>
    <t>Complex.</t>
  </si>
  <si>
    <t>Observações</t>
  </si>
  <si>
    <t>Aluno</t>
  </si>
  <si>
    <t>AIE</t>
  </si>
  <si>
    <t>I</t>
  </si>
  <si>
    <t>Média</t>
  </si>
  <si>
    <t>Dados pessoais e vínculo retornados pela API</t>
  </si>
  <si>
    <t>Disciplinas</t>
  </si>
  <si>
    <t>Lista de disciplinas e matrículas do aluno</t>
  </si>
  <si>
    <t>Notas</t>
  </si>
  <si>
    <t>Notas, avaliações e médias retornadas pela API</t>
  </si>
  <si>
    <t>Faltas</t>
  </si>
  <si>
    <t>Frequência e faltas por disciplina</t>
  </si>
  <si>
    <t>Grade Horária</t>
  </si>
  <si>
    <t>Aulas semanais por dia e horário</t>
  </si>
  <si>
    <t>Documentos</t>
  </si>
  <si>
    <t>Tipos de documentos e solicitações anteriores</t>
  </si>
  <si>
    <t>Solicitações Acadêmicas</t>
  </si>
  <si>
    <t>Dados de trancamento, revisão, rematrícula etc</t>
  </si>
  <si>
    <t>Login</t>
  </si>
  <si>
    <t>EE</t>
  </si>
  <si>
    <t>Baixa</t>
  </si>
  <si>
    <t>Envia RA/email e senha para autenticar</t>
  </si>
  <si>
    <t>Solicitar Documento</t>
  </si>
  <si>
    <t>Envia tipo + dados da solicitação</t>
  </si>
  <si>
    <t>Solicitar Rematrícula</t>
  </si>
  <si>
    <t>Envia disciplinas selecionadas</t>
  </si>
  <si>
    <t>Solicitar Trancamento</t>
  </si>
  <si>
    <t>Envia motivo e dados da solicitação</t>
  </si>
  <si>
    <t>Solicitar Revisão de Nota</t>
  </si>
  <si>
    <t>Envia pedido de revisão</t>
  </si>
  <si>
    <t>Home</t>
  </si>
  <si>
    <t>CE</t>
  </si>
  <si>
    <t>Mostra resumo do aluno e agenda</t>
  </si>
  <si>
    <t>Lista disciplinas atuais</t>
  </si>
  <si>
    <t>Lista documentos disponíveis</t>
  </si>
  <si>
    <t>Exibe horários de aula</t>
  </si>
  <si>
    <t>Frequência</t>
  </si>
  <si>
    <t>SE</t>
  </si>
  <si>
    <t>Exibe barras e percentuais calculados</t>
  </si>
  <si>
    <t>Exibe médias, cálculo da média geral</t>
  </si>
  <si>
    <t>Painel de Desempenho</t>
  </si>
  <si>
    <t>Exibe gráfico de histórico de notas</t>
  </si>
  <si>
    <t>Sumário da Contagem</t>
  </si>
  <si>
    <t>Tipo de Função</t>
  </si>
  <si>
    <t>Complexidade Funcional</t>
  </si>
  <si>
    <t>Total por Complexidade</t>
  </si>
  <si>
    <t xml:space="preserve">% </t>
  </si>
  <si>
    <t>x 3</t>
  </si>
  <si>
    <t>x 4</t>
  </si>
  <si>
    <t>Alta</t>
  </si>
  <si>
    <t>x 6</t>
  </si>
  <si>
    <t>Total</t>
  </si>
  <si>
    <t>x 5</t>
  </si>
  <si>
    <t>x 7</t>
  </si>
  <si>
    <t>ALI</t>
  </si>
  <si>
    <t>x 10</t>
  </si>
  <si>
    <t>x 15</t>
  </si>
  <si>
    <t>Total PF (contagem detalhada)</t>
  </si>
  <si>
    <t>Total PF (contagem estimativa)</t>
  </si>
  <si>
    <t>Total PF (contagem indicativa)</t>
  </si>
  <si>
    <t>Total de PF Local</t>
  </si>
  <si>
    <t>DFL</t>
  </si>
  <si>
    <t>PF LOCAL</t>
  </si>
  <si>
    <t>INCLUSÃO (ADD)</t>
  </si>
  <si>
    <t>TOTAL</t>
  </si>
  <si>
    <t>ALTERAÇÃO (CHG)</t>
  </si>
  <si>
    <t>EXCLUSÃO (DEL)</t>
  </si>
  <si>
    <t>TESTE (TST)</t>
  </si>
  <si>
    <t>UC</t>
  </si>
  <si>
    <t>Prazo almejado (meses)</t>
  </si>
  <si>
    <t>ESTIMATIVA COM BASE NA</t>
  </si>
  <si>
    <t>PRODUTIVIDADE DO SETOR PÚBLICO</t>
  </si>
  <si>
    <t>PF/hora</t>
  </si>
  <si>
    <t>Total horas</t>
  </si>
  <si>
    <t>Horas / Homem-mês TRT9</t>
  </si>
  <si>
    <t>Esforço/pessoas no prazo desejado</t>
  </si>
  <si>
    <t>ESFORÇO POR ATIVIDADE (h)</t>
  </si>
  <si>
    <t>Análise de Requisitos (20%)</t>
  </si>
  <si>
    <t>Análise e Projeto (30%)</t>
  </si>
  <si>
    <t>Implementação e Testes (40%)</t>
  </si>
  <si>
    <t>Disponibilização (10%)</t>
  </si>
  <si>
    <t>ESFORÇO POR ATIVIDADE / MÊS (h)</t>
  </si>
  <si>
    <t>ESFORÇO POR ATIVIDADE / MÊS (PF)</t>
  </si>
  <si>
    <t>PRAZO MÁXIMO MESES (fórmula PROCERGS)</t>
  </si>
  <si>
    <t>Descrição</t>
  </si>
  <si>
    <t>ALI – Arquivos Lógicos Internos (bases de dados próprias do sistema)</t>
  </si>
  <si>
    <t>AIE – Arquivos de Interface Externos (bases externas apenas lidas)</t>
  </si>
  <si>
    <t>EE – Entradas Externas (telas que gravam dados)</t>
  </si>
  <si>
    <t>SE – Saídas Externas (relatórios, consultas com lógica)</t>
  </si>
  <si>
    <t>CE – Consultas Externas (consultas simples, sem cálculos complexos)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</si>
</sst>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R$&quot;* #,##0.00_);_(&quot;R$&quot;* \(#,##0.00\);_(&quot;R$&quot;* \-??_);_(@_)"/>
    <numFmt numFmtId="165" formatCode="_(* #,##0.00_);_(* \(#,##0.00\);_(* \-??_);_(@_)"/>
    <numFmt numFmtId="166" formatCode="0.0%"/>
  </numFmts>
  <fonts count="24">
    <font>
      <sz val="10"/>
      <name val="Arial"/>
    </font>
    <font>
      <sz val="11"/>
      <color theme="1"/>
      <name val="Calibri"/>
      <scheme val="minor"/>
    </font>
    <font>
      <sz val="10"/>
      <name val="Franklin Gothic Medium"/>
      <family val="2"/>
    </font>
    <font>
      <b/>
      <sz val="10"/>
      <name val="Franklin Gothic Medium"/>
      <family val="2"/>
    </font>
    <font>
      <sz val="9"/>
      <color indexed="12"/>
      <name val="Franklin Gothic Medium"/>
      <family val="2"/>
    </font>
    <font>
      <sz val="9"/>
      <name val="Franklin Gothic Medium"/>
      <family val="2"/>
    </font>
    <font>
      <b/>
      <sz val="9"/>
      <color indexed="12"/>
      <name val="Franklin Gothic Medium"/>
      <family val="2"/>
    </font>
    <font>
      <b/>
      <sz val="9"/>
      <name val="Franklin Gothic Medium"/>
      <family val="2"/>
    </font>
    <font>
      <sz val="10"/>
      <color indexed="12"/>
      <name val="Franklin Gothic Medium"/>
      <family val="2"/>
    </font>
    <font>
      <b/>
      <sz val="12"/>
      <name val="Franklin Gothic Medium"/>
      <family val="2"/>
    </font>
    <font>
      <sz val="8"/>
      <color indexed="8"/>
      <name val="Times New Roman"/>
      <family val="1"/>
    </font>
    <font>
      <sz val="8"/>
      <name val="Franklin Gothic Medium"/>
      <family val="2"/>
    </font>
    <font>
      <sz val="9"/>
      <color indexed="9"/>
      <name val="Franklin Gothic Medium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0"/>
      <color indexed="9"/>
      <name val="Franklin Gothic Medium"/>
      <family val="2"/>
    </font>
    <font>
      <b/>
      <sz val="1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0"/>
      <color theme="0"/>
      <name val="Arial"/>
      <family val="2"/>
    </font>
    <font>
      <sz val="12"/>
      <color rgb="FF000000"/>
      <name val="Arial"/>
    </font>
    <font>
      <sz val="12"/>
      <color theme="1"/>
      <name val="Arial"/>
    </font>
    <font>
      <b/>
      <sz val="13"/>
      <color rgb="FF000000"/>
      <name val="Arial"/>
    </font>
  </fonts>
  <fills count="18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44"/>
        <bgColor indexed="31"/>
      </patternFill>
    </fill>
    <fill>
      <patternFill patternType="solid">
        <fgColor indexed="46"/>
        <bgColor indexed="24"/>
      </patternFill>
    </fill>
    <fill>
      <patternFill patternType="solid">
        <fgColor indexed="43"/>
        <bgColor indexed="26"/>
      </patternFill>
    </fill>
    <fill>
      <patternFill patternType="solid">
        <fgColor indexed="15"/>
        <bgColor indexed="35"/>
      </patternFill>
    </fill>
    <fill>
      <patternFill patternType="solid">
        <fgColor indexed="25"/>
        <bgColor indexed="61"/>
      </patternFill>
    </fill>
    <fill>
      <patternFill patternType="solid">
        <fgColor indexed="13"/>
        <bgColor indexed="34"/>
      </patternFill>
    </fill>
    <fill>
      <patternFill patternType="solid">
        <fgColor indexed="23"/>
        <bgColor indexed="5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2F828"/>
        <bgColor indexed="64"/>
      </patternFill>
    </fill>
    <fill>
      <patternFill patternType="solid">
        <fgColor theme="4" tint="0.79998168889431442"/>
        <bgColor indexed="65"/>
      </patternFill>
    </fill>
  </fills>
  <borders count="4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</borders>
  <cellStyleXfs count="5">
    <xf numFmtId="0" fontId="0" fillId="0" borderId="0"/>
    <xf numFmtId="164" fontId="15" fillId="0" borderId="0" applyFill="0" applyBorder="0" applyAlignment="0" applyProtection="0"/>
    <xf numFmtId="9" fontId="15" fillId="0" borderId="0" applyFill="0" applyBorder="0" applyAlignment="0" applyProtection="0"/>
    <xf numFmtId="165" fontId="15" fillId="0" borderId="0" applyFill="0" applyBorder="0" applyAlignment="0" applyProtection="0"/>
    <xf numFmtId="0" fontId="1" fillId="17" borderId="0" applyNumberFormat="0" applyBorder="0" applyAlignment="0" applyProtection="0"/>
  </cellStyleXfs>
  <cellXfs count="160">
    <xf numFmtId="0" fontId="0" fillId="0" borderId="0" xfId="0"/>
    <xf numFmtId="0" fontId="2" fillId="0" borderId="0" xfId="0" applyFont="1"/>
    <xf numFmtId="0" fontId="7" fillId="0" borderId="1" xfId="0" applyFont="1" applyBorder="1" applyAlignment="1" applyProtection="1">
      <alignment horizontal="center"/>
      <protection locked="0"/>
    </xf>
    <xf numFmtId="0" fontId="5" fillId="0" borderId="0" xfId="0" applyFont="1"/>
    <xf numFmtId="0" fontId="8" fillId="0" borderId="0" xfId="0" applyFont="1" applyAlignment="1">
      <alignment horizontal="center"/>
    </xf>
    <xf numFmtId="2" fontId="5" fillId="2" borderId="1" xfId="0" applyNumberFormat="1" applyFont="1" applyFill="1" applyBorder="1" applyAlignment="1">
      <alignment horizontal="center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0" fontId="11" fillId="0" borderId="0" xfId="0" applyFont="1"/>
    <xf numFmtId="0" fontId="3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11" fillId="0" borderId="3" xfId="0" applyFont="1" applyBorder="1" applyAlignment="1">
      <alignment horizontal="left" vertic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 wrapText="1"/>
    </xf>
    <xf numFmtId="0" fontId="11" fillId="2" borderId="4" xfId="0" applyFont="1" applyFill="1" applyBorder="1" applyAlignment="1">
      <alignment horizontal="center" wrapText="1"/>
    </xf>
    <xf numFmtId="0" fontId="11" fillId="2" borderId="4" xfId="0" applyFont="1" applyFill="1" applyBorder="1" applyAlignment="1">
      <alignment horizontal="center"/>
    </xf>
    <xf numFmtId="4" fontId="11" fillId="2" borderId="4" xfId="0" applyNumberFormat="1" applyFont="1" applyFill="1" applyBorder="1" applyAlignment="1">
      <alignment horizontal="center"/>
    </xf>
    <xf numFmtId="0" fontId="5" fillId="2" borderId="6" xfId="0" applyFont="1" applyFill="1" applyBorder="1" applyAlignment="1">
      <alignment vertical="center"/>
    </xf>
    <xf numFmtId="0" fontId="5" fillId="2" borderId="0" xfId="0" applyFont="1" applyFill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0" xfId="0" applyFont="1" applyAlignment="1">
      <alignment vertical="center"/>
    </xf>
    <xf numFmtId="166" fontId="5" fillId="0" borderId="0" xfId="2" applyNumberFormat="1" applyFont="1" applyFill="1" applyBorder="1" applyAlignment="1" applyProtection="1"/>
    <xf numFmtId="0" fontId="5" fillId="0" borderId="12" xfId="0" applyFont="1" applyBorder="1"/>
    <xf numFmtId="10" fontId="5" fillId="0" borderId="12" xfId="0" applyNumberFormat="1" applyFont="1" applyBorder="1"/>
    <xf numFmtId="0" fontId="7" fillId="0" borderId="0" xfId="0" applyFont="1"/>
    <xf numFmtId="166" fontId="5" fillId="3" borderId="0" xfId="2" applyNumberFormat="1" applyFont="1" applyFill="1" applyBorder="1" applyAlignment="1" applyProtection="1"/>
    <xf numFmtId="9" fontId="5" fillId="0" borderId="0" xfId="2" applyFont="1" applyFill="1" applyBorder="1" applyAlignment="1" applyProtection="1"/>
    <xf numFmtId="0" fontId="5" fillId="0" borderId="13" xfId="0" applyFont="1" applyBorder="1"/>
    <xf numFmtId="0" fontId="5" fillId="0" borderId="14" xfId="0" applyFont="1" applyBorder="1"/>
    <xf numFmtId="166" fontId="5" fillId="4" borderId="0" xfId="2" applyNumberFormat="1" applyFont="1" applyFill="1" applyBorder="1" applyAlignment="1" applyProtection="1"/>
    <xf numFmtId="166" fontId="5" fillId="5" borderId="0" xfId="2" applyNumberFormat="1" applyFont="1" applyFill="1" applyBorder="1" applyAlignment="1" applyProtection="1"/>
    <xf numFmtId="166" fontId="5" fillId="6" borderId="0" xfId="2" applyNumberFormat="1" applyFont="1" applyFill="1" applyBorder="1" applyAlignment="1" applyProtection="1"/>
    <xf numFmtId="166" fontId="5" fillId="7" borderId="0" xfId="2" applyNumberFormat="1" applyFont="1" applyFill="1" applyBorder="1" applyAlignment="1" applyProtection="1"/>
    <xf numFmtId="0" fontId="5" fillId="0" borderId="1" xfId="0" applyFont="1" applyBorder="1" applyAlignment="1">
      <alignment horizontal="center"/>
    </xf>
    <xf numFmtId="2" fontId="5" fillId="2" borderId="1" xfId="2" applyNumberFormat="1" applyFont="1" applyFill="1" applyBorder="1" applyAlignment="1" applyProtection="1">
      <alignment horizontal="center"/>
    </xf>
    <xf numFmtId="2" fontId="5" fillId="0" borderId="0" xfId="2" applyNumberFormat="1" applyFont="1" applyFill="1" applyBorder="1" applyAlignment="1" applyProtection="1"/>
    <xf numFmtId="2" fontId="5" fillId="0" borderId="1" xfId="2" applyNumberFormat="1" applyFont="1" applyFill="1" applyBorder="1" applyAlignment="1" applyProtection="1">
      <alignment horizontal="center"/>
    </xf>
    <xf numFmtId="2" fontId="7" fillId="8" borderId="1" xfId="2" applyNumberFormat="1" applyFont="1" applyFill="1" applyBorder="1" applyAlignment="1" applyProtection="1"/>
    <xf numFmtId="0" fontId="5" fillId="0" borderId="15" xfId="0" applyFont="1" applyBorder="1"/>
    <xf numFmtId="0" fontId="7" fillId="0" borderId="16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6" xfId="0" applyFont="1" applyBorder="1"/>
    <xf numFmtId="2" fontId="5" fillId="0" borderId="16" xfId="0" applyNumberFormat="1" applyFont="1" applyBorder="1" applyAlignment="1">
      <alignment horizontal="center"/>
    </xf>
    <xf numFmtId="2" fontId="5" fillId="0" borderId="16" xfId="2" applyNumberFormat="1" applyFont="1" applyFill="1" applyBorder="1" applyAlignment="1" applyProtection="1">
      <alignment horizontal="center"/>
    </xf>
    <xf numFmtId="2" fontId="5" fillId="0" borderId="16" xfId="2" applyNumberFormat="1" applyFont="1" applyFill="1" applyBorder="1" applyAlignment="1" applyProtection="1"/>
    <xf numFmtId="2" fontId="7" fillId="0" borderId="16" xfId="2" applyNumberFormat="1" applyFont="1" applyFill="1" applyBorder="1" applyAlignment="1" applyProtection="1"/>
    <xf numFmtId="0" fontId="5" fillId="0" borderId="17" xfId="0" applyFont="1" applyBorder="1"/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2" fontId="5" fillId="0" borderId="0" xfId="2" applyNumberFormat="1" applyFont="1" applyFill="1" applyBorder="1" applyAlignment="1" applyProtection="1">
      <alignment horizontal="center"/>
    </xf>
    <xf numFmtId="2" fontId="7" fillId="0" borderId="0" xfId="2" applyNumberFormat="1" applyFont="1" applyFill="1" applyBorder="1" applyAlignment="1" applyProtection="1"/>
    <xf numFmtId="2" fontId="5" fillId="0" borderId="1" xfId="0" applyNumberFormat="1" applyFont="1" applyBorder="1" applyAlignment="1" applyProtection="1">
      <alignment horizontal="right"/>
      <protection locked="0"/>
    </xf>
    <xf numFmtId="0" fontId="16" fillId="9" borderId="1" xfId="0" applyFont="1" applyFill="1" applyBorder="1" applyAlignment="1">
      <alignment horizontal="center" vertical="center"/>
    </xf>
    <xf numFmtId="0" fontId="16" fillId="9" borderId="18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/>
    </xf>
    <xf numFmtId="0" fontId="16" fillId="9" borderId="19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1" fillId="10" borderId="20" xfId="0" applyFont="1" applyFill="1" applyBorder="1" applyAlignment="1">
      <alignment horizontal="center" vertical="center"/>
    </xf>
    <xf numFmtId="0" fontId="17" fillId="0" borderId="0" xfId="0" applyFont="1"/>
    <xf numFmtId="0" fontId="15" fillId="0" borderId="0" xfId="0" applyFont="1"/>
    <xf numFmtId="3" fontId="0" fillId="0" borderId="0" xfId="0" applyNumberFormat="1" applyAlignment="1">
      <alignment horizontal="center"/>
    </xf>
    <xf numFmtId="4" fontId="17" fillId="11" borderId="21" xfId="0" applyNumberFormat="1" applyFont="1" applyFill="1" applyBorder="1" applyAlignment="1">
      <alignment horizontal="center"/>
    </xf>
    <xf numFmtId="0" fontId="0" fillId="11" borderId="22" xfId="0" applyFill="1" applyBorder="1"/>
    <xf numFmtId="3" fontId="17" fillId="11" borderId="23" xfId="0" applyNumberFormat="1" applyFont="1" applyFill="1" applyBorder="1" applyAlignment="1">
      <alignment horizontal="center"/>
    </xf>
    <xf numFmtId="0" fontId="15" fillId="11" borderId="22" xfId="0" applyFont="1" applyFill="1" applyBorder="1"/>
    <xf numFmtId="0" fontId="15" fillId="11" borderId="24" xfId="0" applyFont="1" applyFill="1" applyBorder="1"/>
    <xf numFmtId="0" fontId="17" fillId="12" borderId="25" xfId="0" applyFont="1" applyFill="1" applyBorder="1"/>
    <xf numFmtId="3" fontId="0" fillId="12" borderId="21" xfId="0" applyNumberFormat="1" applyFill="1" applyBorder="1" applyAlignment="1">
      <alignment horizontal="center"/>
    </xf>
    <xf numFmtId="0" fontId="15" fillId="12" borderId="22" xfId="0" applyFont="1" applyFill="1" applyBorder="1"/>
    <xf numFmtId="3" fontId="17" fillId="12" borderId="23" xfId="0" applyNumberFormat="1" applyFont="1" applyFill="1" applyBorder="1" applyAlignment="1">
      <alignment horizontal="center"/>
    </xf>
    <xf numFmtId="0" fontId="15" fillId="12" borderId="24" xfId="0" applyFont="1" applyFill="1" applyBorder="1"/>
    <xf numFmtId="3" fontId="17" fillId="12" borderId="26" xfId="0" applyNumberFormat="1" applyFont="1" applyFill="1" applyBorder="1" applyAlignment="1">
      <alignment horizontal="center"/>
    </xf>
    <xf numFmtId="0" fontId="0" fillId="13" borderId="22" xfId="0" applyFill="1" applyBorder="1"/>
    <xf numFmtId="3" fontId="0" fillId="13" borderId="23" xfId="0" applyNumberFormat="1" applyFill="1" applyBorder="1" applyAlignment="1">
      <alignment horizontal="center"/>
    </xf>
    <xf numFmtId="0" fontId="17" fillId="13" borderId="24" xfId="0" applyFont="1" applyFill="1" applyBorder="1"/>
    <xf numFmtId="3" fontId="17" fillId="13" borderId="26" xfId="0" applyNumberFormat="1" applyFont="1" applyFill="1" applyBorder="1" applyAlignment="1">
      <alignment horizontal="center"/>
    </xf>
    <xf numFmtId="0" fontId="15" fillId="11" borderId="25" xfId="0" applyFont="1" applyFill="1" applyBorder="1"/>
    <xf numFmtId="0" fontId="17" fillId="13" borderId="27" xfId="0" applyFont="1" applyFill="1" applyBorder="1" applyAlignment="1">
      <alignment horizontal="center"/>
    </xf>
    <xf numFmtId="3" fontId="17" fillId="13" borderId="28" xfId="0" applyNumberFormat="1" applyFont="1" applyFill="1" applyBorder="1" applyAlignment="1">
      <alignment horizontal="center"/>
    </xf>
    <xf numFmtId="0" fontId="20" fillId="14" borderId="27" xfId="0" applyFont="1" applyFill="1" applyBorder="1"/>
    <xf numFmtId="0" fontId="11" fillId="15" borderId="29" xfId="0" applyFont="1" applyFill="1" applyBorder="1" applyAlignment="1">
      <alignment horizontal="left" vertical="center"/>
    </xf>
    <xf numFmtId="0" fontId="11" fillId="15" borderId="3" xfId="0" applyFont="1" applyFill="1" applyBorder="1" applyAlignment="1">
      <alignment horizontal="left" vertical="center"/>
    </xf>
    <xf numFmtId="0" fontId="11" fillId="15" borderId="20" xfId="0" applyFont="1" applyFill="1" applyBorder="1" applyAlignment="1">
      <alignment horizontal="left" vertical="center"/>
    </xf>
    <xf numFmtId="0" fontId="20" fillId="14" borderId="28" xfId="0" applyFont="1" applyFill="1" applyBorder="1" applyAlignment="1">
      <alignment horizontal="center"/>
    </xf>
    <xf numFmtId="0" fontId="16" fillId="9" borderId="30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11" fillId="15" borderId="20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1" fontId="17" fillId="11" borderId="26" xfId="0" applyNumberFormat="1" applyFont="1" applyFill="1" applyBorder="1" applyAlignment="1">
      <alignment horizontal="center"/>
    </xf>
    <xf numFmtId="2" fontId="17" fillId="16" borderId="28" xfId="0" applyNumberFormat="1" applyFont="1" applyFill="1" applyBorder="1" applyAlignment="1">
      <alignment horizontal="center"/>
    </xf>
    <xf numFmtId="0" fontId="17" fillId="16" borderId="27" xfId="0" applyFont="1" applyFill="1" applyBorder="1"/>
    <xf numFmtId="0" fontId="6" fillId="0" borderId="1" xfId="0" applyFont="1" applyBorder="1" applyAlignment="1">
      <alignment horizontal="center" vertical="center" textRotation="90" wrapText="1"/>
    </xf>
    <xf numFmtId="0" fontId="4" fillId="0" borderId="18" xfId="0" applyFont="1" applyBorder="1" applyAlignment="1">
      <alignment horizontal="right"/>
    </xf>
    <xf numFmtId="2" fontId="5" fillId="0" borderId="1" xfId="0" applyNumberFormat="1" applyFont="1" applyBorder="1" applyAlignment="1">
      <alignment horizontal="center"/>
    </xf>
    <xf numFmtId="0" fontId="2" fillId="0" borderId="31" xfId="0" applyFont="1" applyBorder="1" applyAlignment="1" applyProtection="1">
      <alignment horizontal="left" vertical="top" wrapText="1"/>
      <protection locked="0"/>
    </xf>
    <xf numFmtId="0" fontId="2" fillId="0" borderId="8" xfId="0" applyFont="1" applyBorder="1" applyAlignment="1" applyProtection="1">
      <alignment horizontal="left" vertical="top" wrapText="1"/>
      <protection locked="0"/>
    </xf>
    <xf numFmtId="0" fontId="2" fillId="0" borderId="32" xfId="0" applyFont="1" applyBorder="1" applyAlignment="1" applyProtection="1">
      <alignment horizontal="left" vertical="top" wrapText="1"/>
      <protection locked="0"/>
    </xf>
    <xf numFmtId="0" fontId="2" fillId="0" borderId="33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 applyProtection="1">
      <alignment horizontal="left" vertical="top" wrapText="1"/>
      <protection locked="0"/>
    </xf>
    <xf numFmtId="0" fontId="2" fillId="0" borderId="34" xfId="0" applyFont="1" applyBorder="1" applyAlignment="1" applyProtection="1">
      <alignment horizontal="left" vertical="top" wrapText="1"/>
      <protection locked="0"/>
    </xf>
    <xf numFmtId="0" fontId="2" fillId="0" borderId="35" xfId="0" applyFont="1" applyBorder="1" applyAlignment="1" applyProtection="1">
      <alignment horizontal="left" vertical="top" wrapText="1"/>
      <protection locked="0"/>
    </xf>
    <xf numFmtId="0" fontId="2" fillId="0" borderId="11" xfId="0" applyFont="1" applyBorder="1" applyAlignment="1" applyProtection="1">
      <alignment horizontal="left" vertical="top" wrapText="1"/>
      <protection locked="0"/>
    </xf>
    <xf numFmtId="0" fontId="2" fillId="0" borderId="36" xfId="0" applyFont="1" applyBorder="1" applyAlignment="1" applyProtection="1">
      <alignment horizontal="left" vertical="top" wrapText="1"/>
      <protection locked="0"/>
    </xf>
    <xf numFmtId="0" fontId="3" fillId="0" borderId="1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65" fontId="5" fillId="2" borderId="1" xfId="3" applyFont="1" applyFill="1" applyBorder="1" applyAlignment="1" applyProtection="1"/>
    <xf numFmtId="0" fontId="4" fillId="0" borderId="18" xfId="0" applyFont="1" applyBorder="1" applyAlignment="1">
      <alignment horizontal="left" vertical="center"/>
    </xf>
    <xf numFmtId="0" fontId="4" fillId="0" borderId="1" xfId="0" applyFont="1" applyBorder="1" applyAlignment="1">
      <alignment horizontal="right"/>
    </xf>
    <xf numFmtId="14" fontId="5" fillId="0" borderId="1" xfId="0" applyNumberFormat="1" applyFont="1" applyBorder="1" applyAlignment="1" applyProtection="1">
      <alignment horizontal="right"/>
      <protection locked="0"/>
    </xf>
    <xf numFmtId="0" fontId="6" fillId="0" borderId="18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/>
    </xf>
    <xf numFmtId="0" fontId="5" fillId="0" borderId="18" xfId="0" applyFont="1" applyBorder="1" applyAlignment="1" applyProtection="1">
      <alignment horizontal="left"/>
      <protection locked="0"/>
    </xf>
    <xf numFmtId="0" fontId="5" fillId="0" borderId="6" xfId="0" applyFont="1" applyBorder="1" applyAlignment="1" applyProtection="1">
      <alignment horizontal="left"/>
      <protection locked="0"/>
    </xf>
    <xf numFmtId="0" fontId="5" fillId="0" borderId="30" xfId="0" applyFont="1" applyBorder="1" applyAlignment="1" applyProtection="1">
      <alignment horizontal="left"/>
      <protection locked="0"/>
    </xf>
    <xf numFmtId="164" fontId="5" fillId="2" borderId="1" xfId="1" applyFont="1" applyFill="1" applyBorder="1" applyAlignment="1" applyProtection="1">
      <alignment horizontal="right"/>
    </xf>
    <xf numFmtId="0" fontId="16" fillId="9" borderId="37" xfId="0" applyFont="1" applyFill="1" applyBorder="1" applyAlignment="1">
      <alignment horizontal="center" vertical="center" wrapText="1"/>
    </xf>
    <xf numFmtId="0" fontId="16" fillId="9" borderId="33" xfId="0" applyFont="1" applyFill="1" applyBorder="1" applyAlignment="1">
      <alignment horizontal="center"/>
    </xf>
    <xf numFmtId="0" fontId="2" fillId="2" borderId="37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38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5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center" vertical="center" wrapText="1"/>
    </xf>
    <xf numFmtId="0" fontId="12" fillId="9" borderId="6" xfId="0" applyFont="1" applyFill="1" applyBorder="1" applyAlignment="1">
      <alignment horizontal="center" vertical="center"/>
    </xf>
    <xf numFmtId="0" fontId="12" fillId="9" borderId="6" xfId="0" applyFont="1" applyFill="1" applyBorder="1" applyAlignment="1">
      <alignment horizontal="center" vertical="center" wrapText="1"/>
    </xf>
    <xf numFmtId="0" fontId="12" fillId="9" borderId="40" xfId="0" applyFont="1" applyFill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/>
    </xf>
    <xf numFmtId="0" fontId="5" fillId="2" borderId="37" xfId="0" applyFont="1" applyFill="1" applyBorder="1" applyAlignment="1">
      <alignment horizontal="left" vertical="center"/>
    </xf>
    <xf numFmtId="0" fontId="5" fillId="2" borderId="4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8" borderId="42" xfId="0" applyFont="1" applyFill="1" applyBorder="1" applyAlignment="1">
      <alignment horizontal="center" vertical="center"/>
    </xf>
    <xf numFmtId="0" fontId="11" fillId="15" borderId="29" xfId="0" applyFont="1" applyFill="1" applyBorder="1" applyAlignment="1">
      <alignment horizontal="center" vertical="center"/>
    </xf>
    <xf numFmtId="0" fontId="11" fillId="15" borderId="43" xfId="0" applyFont="1" applyFill="1" applyBorder="1" applyAlignment="1">
      <alignment horizontal="center" vertical="center"/>
    </xf>
    <xf numFmtId="0" fontId="11" fillId="15" borderId="44" xfId="0" applyFont="1" applyFill="1" applyBorder="1" applyAlignment="1">
      <alignment horizontal="center" vertical="center"/>
    </xf>
    <xf numFmtId="0" fontId="11" fillId="15" borderId="45" xfId="0" applyFont="1" applyFill="1" applyBorder="1" applyAlignment="1">
      <alignment horizontal="center" vertical="center"/>
    </xf>
    <xf numFmtId="0" fontId="11" fillId="15" borderId="3" xfId="0" applyFont="1" applyFill="1" applyBorder="1" applyAlignment="1">
      <alignment horizontal="center" vertical="center"/>
    </xf>
    <xf numFmtId="0" fontId="11" fillId="15" borderId="20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1" fillId="0" borderId="0" xfId="0" applyFont="1"/>
    <xf numFmtId="0" fontId="23" fillId="17" borderId="0" xfId="4" applyFont="1" applyAlignment="1">
      <alignment horizontal="center"/>
    </xf>
    <xf numFmtId="0" fontId="1" fillId="17" borderId="0" xfId="4" applyAlignment="1">
      <alignment horizontal="center"/>
    </xf>
    <xf numFmtId="0" fontId="1" fillId="17" borderId="0" xfId="4" applyAlignment="1"/>
    <xf numFmtId="0" fontId="5" fillId="0" borderId="1" xfId="0" applyFont="1" applyBorder="1" applyAlignment="1" applyProtection="1">
      <protection locked="0"/>
    </xf>
    <xf numFmtId="0" fontId="4" fillId="0" borderId="30" xfId="0" applyFont="1" applyBorder="1" applyAlignment="1"/>
    <xf numFmtId="0" fontId="4" fillId="0" borderId="18" xfId="0" applyFont="1" applyBorder="1" applyAlignment="1"/>
    <xf numFmtId="0" fontId="4" fillId="0" borderId="6" xfId="0" applyFont="1" applyBorder="1" applyAlignment="1"/>
  </cellXfs>
  <cellStyles count="5">
    <cellStyle name="20% - Ênfase1" xfId="4" builtinId="30"/>
    <cellStyle name="Moeda" xfId="1" builtinId="4"/>
    <cellStyle name="Normal" xfId="0" builtinId="0"/>
    <cellStyle name="Porcentagem" xfId="2" builtinId="5"/>
    <cellStyle name="Vírgula" xfId="3" builtinId="3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/>
        <i val="0"/>
        <condense val="0"/>
        <extend val="0"/>
        <color indexed="10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color indexed="17"/>
      </font>
      <fill>
        <patternFill patternType="solid">
          <fgColor indexed="41"/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color indexed="17"/>
      </font>
      <fill>
        <patternFill patternType="solid">
          <fgColor indexed="41"/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color indexed="17"/>
      </font>
      <fill>
        <patternFill patternType="solid">
          <fgColor indexed="41"/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color indexed="17"/>
      </font>
      <fill>
        <patternFill patternType="solid">
          <fgColor indexed="41"/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color indexed="17"/>
      </font>
      <fill>
        <patternFill patternType="solid">
          <fgColor indexed="41"/>
          <bgColor indexed="27"/>
        </patternFill>
      </fill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% por Tipo de Função</a:t>
            </a:r>
          </a:p>
        </c:rich>
      </c:tx>
      <c:layout>
        <c:manualLayout>
          <c:xMode val="edge"/>
          <c:yMode val="edge"/>
          <c:x val="0.27368518124423635"/>
          <c:y val="6.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9473785654260007"/>
          <c:y val="0.47916422951136517"/>
          <c:w val="0.11578977125249602"/>
          <c:h val="0.22916550107065292"/>
        </c:manualLayout>
      </c:layout>
      <c:pieChart>
        <c:varyColors val="1"/>
        <c:ser>
          <c:idx val="0"/>
          <c:order val="0"/>
          <c:spPr>
            <a:solidFill>
              <a:srgbClr val="99CCFF"/>
            </a:solidFill>
            <a:ln w="3175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3175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C82-490D-8AA2-7B94CA39FA63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3175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C82-490D-8AA2-7B94CA39FA63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3175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C82-490D-8AA2-7B94CA39FA63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3175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C82-490D-8AA2-7B94CA39FA63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3175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C82-490D-8AA2-7B94CA39FA63}"/>
              </c:ext>
            </c:extLst>
          </c:dPt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C82-490D-8AA2-7B94CA39FA63}"/>
                </c:ext>
              </c:extLst>
            </c:dLbl>
            <c:dLbl>
              <c:idx val="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C82-490D-8AA2-7B94CA39FA63}"/>
                </c:ext>
              </c:extLst>
            </c:dLbl>
            <c:dLbl>
              <c:idx val="2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C82-490D-8AA2-7B94CA39FA63}"/>
                </c:ext>
              </c:extLst>
            </c:dLbl>
            <c:dLbl>
              <c:idx val="3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C82-490D-8AA2-7B94CA39FA63}"/>
                </c:ext>
              </c:extLst>
            </c:dLbl>
            <c:dLbl>
              <c:idx val="4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C82-490D-8AA2-7B94CA39FA6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Sumário!$I$14,Sumário!$I$21,Sumário!$I$28,Sumário!$I$35,Sumário!$I$42</c:f>
              <c:numCache>
                <c:formatCode>0.0%</c:formatCode>
                <c:ptCount val="5"/>
                <c:pt idx="0">
                  <c:v>0.14972999509081983</c:v>
                </c:pt>
                <c:pt idx="1">
                  <c:v>0.13254786450662739</c:v>
                </c:pt>
                <c:pt idx="2">
                  <c:v>0.11978399607265587</c:v>
                </c:pt>
                <c:pt idx="3">
                  <c:v>0</c:v>
                </c:pt>
                <c:pt idx="4">
                  <c:v>0.59793814432989689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C82-490D-8AA2-7B94CA39F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8699061265990409"/>
          <c:y val="0.42857119422572176"/>
          <c:w val="7.8843725615379112E-2"/>
          <c:h val="0.51428559711286093"/>
        </c:manualLayout>
      </c:layout>
      <c:overlay val="0"/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  <c:txPr>
        <a:bodyPr/>
        <a:lstStyle/>
        <a:p>
          <a:pPr rtl="0">
            <a:defRPr sz="48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0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4</xdr:col>
      <xdr:colOff>104775</xdr:colOff>
      <xdr:row>2</xdr:row>
      <xdr:rowOff>171450</xdr:rowOff>
    </xdr:to>
    <xdr:pic>
      <xdr:nvPicPr>
        <xdr:cNvPr id="1494" name="Imagem 1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9050"/>
          <a:ext cx="8096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342900</xdr:colOff>
      <xdr:row>2</xdr:row>
      <xdr:rowOff>123825</xdr:rowOff>
    </xdr:to>
    <xdr:pic>
      <xdr:nvPicPr>
        <xdr:cNvPr id="2537" name="Imagem 2">
          <a:extLst>
            <a:ext uri="{FF2B5EF4-FFF2-40B4-BE49-F238E27FC236}">
              <a16:creationId xmlns:a16="http://schemas.microsoft.com/office/drawing/2014/main" id="{00000000-0008-0000-0100-0000E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47625"/>
          <a:ext cx="8096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43</xdr:row>
      <xdr:rowOff>9525</xdr:rowOff>
    </xdr:from>
    <xdr:to>
      <xdr:col>11</xdr:col>
      <xdr:colOff>419100</xdr:colOff>
      <xdr:row>50</xdr:row>
      <xdr:rowOff>161925</xdr:rowOff>
    </xdr:to>
    <xdr:graphicFrame macro="">
      <xdr:nvGraphicFramePr>
        <xdr:cNvPr id="4012" name="Chart 10">
          <a:extLst>
            <a:ext uri="{FF2B5EF4-FFF2-40B4-BE49-F238E27FC236}">
              <a16:creationId xmlns:a16="http://schemas.microsoft.com/office/drawing/2014/main" id="{00000000-0008-0000-0200-0000AC0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66675</xdr:colOff>
      <xdr:row>3</xdr:row>
      <xdr:rowOff>0</xdr:rowOff>
    </xdr:to>
    <xdr:pic>
      <xdr:nvPicPr>
        <xdr:cNvPr id="4013" name="Imagem 4">
          <a:extLst>
            <a:ext uri="{FF2B5EF4-FFF2-40B4-BE49-F238E27FC236}">
              <a16:creationId xmlns:a16="http://schemas.microsoft.com/office/drawing/2014/main" id="{00000000-0008-0000-0200-0000A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096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8266A3-8ECE-4DBA-AFF7-C89F8E53E67B}" name="Tabela5" displayName="Tabela5" ref="A1:D6" totalsRowShown="0" headerRowDxfId="5" dataDxfId="4">
  <autoFilter ref="A1:D6" xr:uid="{928266A3-8ECE-4DBA-AFF7-C89F8E53E67B}"/>
  <tableColumns count="4">
    <tableColumn id="1" xr3:uid="{42EAFF29-000A-44F4-954C-9716E6D07030}" name="Tipo" dataDxfId="3"/>
    <tableColumn id="2" xr3:uid="{75C3294E-2C25-4B1D-B3EA-12C26EFE8D8F}" name="Baixa" dataDxfId="2"/>
    <tableColumn id="3" xr3:uid="{2AC2F145-6500-4C04-86D6-C49886F8BFAC}" name="Média" dataDxfId="1"/>
    <tableColumn id="4" xr3:uid="{920BDCCB-43B4-4F8C-97E8-6F968A606D6C}" name="Alta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4"/>
  <dimension ref="A1:AD201"/>
  <sheetViews>
    <sheetView showGridLines="0" tabSelected="1" zoomScaleSheetLayoutView="100" workbookViewId="0">
      <selection activeCell="M10" sqref="M10"/>
    </sheetView>
  </sheetViews>
  <sheetFormatPr defaultRowHeight="13.5"/>
  <cols>
    <col min="1" max="15" width="2.7109375" style="1" customWidth="1"/>
    <col min="16" max="16" width="0.85546875" style="1" customWidth="1"/>
    <col min="17" max="17" width="10.85546875" style="1" customWidth="1"/>
    <col min="18" max="18" width="4.28515625" style="1" customWidth="1"/>
    <col min="19" max="19" width="3.42578125" style="1" customWidth="1"/>
    <col min="20" max="20" width="7.28515625" style="1" customWidth="1"/>
    <col min="21" max="76" width="2.7109375" style="1" customWidth="1"/>
    <col min="77" max="16384" width="9.140625" style="1"/>
  </cols>
  <sheetData>
    <row r="1" spans="1:30" ht="12" customHeight="1">
      <c r="A1" s="117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</row>
    <row r="2" spans="1:30" ht="12" customHeight="1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</row>
    <row r="3" spans="1:30" ht="14.25" customHeight="1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</row>
    <row r="4" spans="1:30">
      <c r="A4" s="113" t="s">
        <v>1</v>
      </c>
      <c r="B4" s="113"/>
      <c r="C4" s="113"/>
      <c r="D4" s="113"/>
      <c r="E4" s="113"/>
      <c r="F4" s="118" t="s">
        <v>2</v>
      </c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20"/>
      <c r="R4" s="111" t="s">
        <v>3</v>
      </c>
      <c r="S4" s="111"/>
      <c r="T4" s="57"/>
      <c r="U4" s="111" t="s">
        <v>4</v>
      </c>
      <c r="V4" s="111"/>
      <c r="W4" s="121">
        <f>W5*T4</f>
        <v>0</v>
      </c>
      <c r="X4" s="121"/>
      <c r="Y4" s="121"/>
      <c r="Z4" s="121"/>
      <c r="AA4" s="121"/>
      <c r="AB4" s="121"/>
    </row>
    <row r="5" spans="1:30">
      <c r="A5" s="113" t="s">
        <v>5</v>
      </c>
      <c r="B5" s="113"/>
      <c r="C5" s="113"/>
      <c r="D5" s="113"/>
      <c r="E5" s="113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11" t="s">
        <v>6</v>
      </c>
      <c r="V5" s="111"/>
      <c r="W5" s="112">
        <f>SUM(Y10:Y13)</f>
        <v>99</v>
      </c>
      <c r="X5" s="112"/>
      <c r="Y5" s="112"/>
      <c r="Z5" s="112"/>
      <c r="AA5" s="112"/>
      <c r="AB5" s="112"/>
    </row>
    <row r="6" spans="1:30">
      <c r="A6" s="113" t="s">
        <v>7</v>
      </c>
      <c r="B6" s="113"/>
      <c r="C6" s="113"/>
      <c r="D6" s="113"/>
      <c r="E6" s="113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</row>
    <row r="7" spans="1:30">
      <c r="A7" s="113" t="s">
        <v>8</v>
      </c>
      <c r="B7" s="113"/>
      <c r="C7" s="113"/>
      <c r="D7" s="113"/>
      <c r="E7" s="113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14" t="s">
        <v>9</v>
      </c>
      <c r="V7" s="114"/>
      <c r="W7" s="114"/>
      <c r="X7" s="115"/>
      <c r="Y7" s="115"/>
      <c r="Z7" s="115"/>
      <c r="AA7" s="115"/>
      <c r="AB7" s="115"/>
    </row>
    <row r="8" spans="1:30">
      <c r="A8" s="113" t="s">
        <v>10</v>
      </c>
      <c r="B8" s="113"/>
      <c r="C8" s="113"/>
      <c r="D8" s="113"/>
      <c r="E8" s="113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14" t="s">
        <v>11</v>
      </c>
      <c r="V8" s="114"/>
      <c r="W8" s="114"/>
      <c r="X8" s="115"/>
      <c r="Y8" s="115"/>
      <c r="Z8" s="115"/>
      <c r="AA8" s="115"/>
      <c r="AB8" s="115"/>
    </row>
    <row r="9" spans="1:30">
      <c r="A9" s="98" t="s">
        <v>12</v>
      </c>
      <c r="B9" s="98"/>
      <c r="C9" s="157" t="s">
        <v>13</v>
      </c>
      <c r="D9" s="157"/>
      <c r="E9" s="157"/>
      <c r="F9" s="157"/>
      <c r="G9" s="157"/>
      <c r="H9" s="157"/>
      <c r="I9" s="157"/>
      <c r="J9" s="157"/>
      <c r="K9" s="157"/>
      <c r="L9" s="2"/>
      <c r="M9" s="3"/>
      <c r="N9" s="3"/>
      <c r="O9" s="116" t="s">
        <v>14</v>
      </c>
      <c r="P9" s="116"/>
      <c r="Q9" s="111" t="s">
        <v>15</v>
      </c>
      <c r="R9" s="111"/>
      <c r="S9" s="111"/>
      <c r="T9" s="111"/>
      <c r="U9" s="111" t="s">
        <v>16</v>
      </c>
      <c r="V9" s="111"/>
      <c r="W9" s="111"/>
      <c r="X9" s="111"/>
      <c r="Y9" s="111" t="s">
        <v>17</v>
      </c>
      <c r="Z9" s="111"/>
      <c r="AA9" s="111"/>
      <c r="AB9" s="111"/>
      <c r="AC9" s="4"/>
      <c r="AD9" s="4"/>
    </row>
    <row r="10" spans="1:30">
      <c r="A10" s="98"/>
      <c r="B10" s="98"/>
      <c r="C10" s="157" t="s">
        <v>18</v>
      </c>
      <c r="D10" s="157"/>
      <c r="E10" s="157"/>
      <c r="F10" s="157"/>
      <c r="G10" s="157"/>
      <c r="H10" s="157"/>
      <c r="I10" s="157"/>
      <c r="J10" s="157"/>
      <c r="K10" s="157"/>
      <c r="L10" s="2"/>
      <c r="M10" s="3"/>
      <c r="N10" s="3"/>
      <c r="O10" s="116"/>
      <c r="P10" s="116"/>
      <c r="Q10" s="114" t="s">
        <v>19</v>
      </c>
      <c r="R10" s="114"/>
      <c r="S10" s="112">
        <f>Sumário!E55</f>
        <v>99</v>
      </c>
      <c r="T10" s="112"/>
      <c r="U10" s="100">
        <v>1</v>
      </c>
      <c r="V10" s="100"/>
      <c r="W10" s="100"/>
      <c r="X10" s="100"/>
      <c r="Y10" s="112">
        <f>S10*U10</f>
        <v>99</v>
      </c>
      <c r="Z10" s="112"/>
      <c r="AA10" s="112"/>
      <c r="AB10" s="112"/>
    </row>
    <row r="11" spans="1:30">
      <c r="A11" s="98"/>
      <c r="B11" s="98"/>
      <c r="C11" s="158" t="s">
        <v>20</v>
      </c>
      <c r="D11" s="159"/>
      <c r="E11" s="159"/>
      <c r="F11" s="159"/>
      <c r="G11" s="159"/>
      <c r="H11" s="159"/>
      <c r="I11" s="159"/>
      <c r="J11" s="159"/>
      <c r="K11" s="157"/>
      <c r="L11" s="2"/>
      <c r="M11" s="3"/>
      <c r="N11" s="3"/>
      <c r="O11" s="116"/>
      <c r="P11" s="116"/>
      <c r="Q11" s="99" t="s">
        <v>21</v>
      </c>
      <c r="R11" s="99"/>
      <c r="S11" s="112">
        <f>Sumário!E56</f>
        <v>0</v>
      </c>
      <c r="T11" s="112"/>
      <c r="U11" s="100">
        <v>1</v>
      </c>
      <c r="V11" s="100"/>
      <c r="W11" s="100"/>
      <c r="X11" s="100"/>
      <c r="Y11" s="112">
        <f>S11*U11</f>
        <v>0</v>
      </c>
      <c r="Z11" s="112"/>
      <c r="AA11" s="112"/>
      <c r="AB11" s="112"/>
    </row>
    <row r="12" spans="1:30">
      <c r="A12" s="98"/>
      <c r="B12" s="98"/>
      <c r="C12" s="158" t="s">
        <v>22</v>
      </c>
      <c r="D12" s="159"/>
      <c r="E12" s="159"/>
      <c r="F12" s="159"/>
      <c r="G12" s="159"/>
      <c r="H12" s="159"/>
      <c r="I12" s="159"/>
      <c r="J12" s="159"/>
      <c r="K12" s="157"/>
      <c r="L12" s="2"/>
      <c r="M12" s="3"/>
      <c r="N12" s="3"/>
      <c r="O12" s="116"/>
      <c r="P12" s="116"/>
      <c r="Q12" s="99" t="s">
        <v>23</v>
      </c>
      <c r="R12" s="99"/>
      <c r="S12" s="112">
        <f>Sumário!E57</f>
        <v>0</v>
      </c>
      <c r="T12" s="112"/>
      <c r="U12" s="100">
        <v>1</v>
      </c>
      <c r="V12" s="100"/>
      <c r="W12" s="100"/>
      <c r="X12" s="100"/>
      <c r="Y12" s="112">
        <f>S12*U12</f>
        <v>0</v>
      </c>
      <c r="Z12" s="112"/>
      <c r="AA12" s="112"/>
      <c r="AB12" s="112"/>
    </row>
    <row r="13" spans="1:30">
      <c r="A13" s="98"/>
      <c r="B13" s="98"/>
      <c r="C13" s="158" t="s">
        <v>24</v>
      </c>
      <c r="D13" s="159"/>
      <c r="E13" s="159"/>
      <c r="F13" s="159"/>
      <c r="G13" s="159"/>
      <c r="H13" s="159"/>
      <c r="I13" s="159"/>
      <c r="J13" s="159"/>
      <c r="K13" s="157"/>
      <c r="L13" s="2"/>
      <c r="M13" s="3"/>
      <c r="N13" s="3"/>
      <c r="O13" s="116"/>
      <c r="P13" s="116"/>
      <c r="Q13" s="99"/>
      <c r="R13" s="99"/>
      <c r="S13" s="112">
        <f>Sumário!E58</f>
        <v>0</v>
      </c>
      <c r="T13" s="112"/>
      <c r="U13" s="100"/>
      <c r="V13" s="100"/>
      <c r="W13" s="100"/>
      <c r="X13" s="100"/>
      <c r="Y13" s="112">
        <f>S13*U13</f>
        <v>0</v>
      </c>
      <c r="Z13" s="112"/>
      <c r="AA13" s="112"/>
      <c r="AB13" s="112"/>
    </row>
    <row r="14" spans="1:30" ht="12" customHeight="1">
      <c r="R14" s="6"/>
    </row>
    <row r="15" spans="1:30" ht="12" customHeight="1">
      <c r="B15" s="7"/>
      <c r="C15" s="7"/>
      <c r="F15" s="7"/>
      <c r="G15" s="7"/>
      <c r="H15" s="7"/>
      <c r="I15" s="7"/>
      <c r="K15" s="110" t="s">
        <v>25</v>
      </c>
      <c r="L15" s="110"/>
      <c r="M15" s="110"/>
      <c r="N15" s="110"/>
      <c r="O15" s="110"/>
      <c r="P15" s="110"/>
      <c r="Q15" s="110"/>
      <c r="R15" s="110"/>
      <c r="S15" s="110"/>
    </row>
    <row r="16" spans="1:30" ht="12" customHeight="1">
      <c r="A16" s="101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3"/>
    </row>
    <row r="17" spans="1:28" ht="12" customHeight="1">
      <c r="A17" s="104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6"/>
    </row>
    <row r="18" spans="1:28" ht="12" customHeight="1">
      <c r="A18" s="104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6"/>
    </row>
    <row r="19" spans="1:28" ht="12" customHeight="1">
      <c r="A19" s="104"/>
      <c r="B19" s="105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6"/>
    </row>
    <row r="20" spans="1:28" ht="12" customHeight="1">
      <c r="A20" s="104"/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6"/>
    </row>
    <row r="21" spans="1:28" ht="12" customHeight="1">
      <c r="A21" s="104"/>
      <c r="B21" s="105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6"/>
    </row>
    <row r="22" spans="1:28" ht="12" customHeight="1">
      <c r="A22" s="104"/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6"/>
    </row>
    <row r="23" spans="1:28" ht="12" customHeight="1">
      <c r="A23" s="107"/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9"/>
    </row>
    <row r="24" spans="1:28" ht="12" customHeight="1"/>
    <row r="25" spans="1:28" ht="12" customHeight="1">
      <c r="K25" s="110" t="s">
        <v>26</v>
      </c>
      <c r="L25" s="110"/>
      <c r="M25" s="110"/>
      <c r="N25" s="110"/>
      <c r="O25" s="110"/>
      <c r="P25" s="110"/>
      <c r="Q25" s="110"/>
      <c r="R25" s="110"/>
      <c r="S25" s="110"/>
    </row>
    <row r="26" spans="1:28" ht="12" customHeight="1">
      <c r="A26" s="101"/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3"/>
    </row>
    <row r="27" spans="1:28" ht="12" customHeight="1">
      <c r="A27" s="104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6"/>
    </row>
    <row r="28" spans="1:28" ht="12" customHeight="1">
      <c r="A28" s="104"/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6"/>
    </row>
    <row r="29" spans="1:28" ht="12" customHeight="1">
      <c r="A29" s="104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6"/>
    </row>
    <row r="30" spans="1:28" ht="12" customHeight="1">
      <c r="A30" s="104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6"/>
    </row>
    <row r="31" spans="1:28" ht="12" customHeight="1">
      <c r="A31" s="104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6"/>
    </row>
    <row r="32" spans="1:28" ht="12" customHeight="1">
      <c r="A32" s="104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6"/>
    </row>
    <row r="33" spans="1:28" ht="12" customHeight="1">
      <c r="A33" s="107"/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9"/>
    </row>
    <row r="34" spans="1:28" ht="12" customHeight="1"/>
    <row r="35" spans="1:28" ht="12" customHeight="1"/>
    <row r="36" spans="1:28" ht="12" customHeight="1"/>
    <row r="37" spans="1:28" ht="12" customHeight="1"/>
    <row r="38" spans="1:28" ht="12" customHeight="1"/>
    <row r="39" spans="1:28" ht="12" customHeight="1"/>
    <row r="40" spans="1:28" ht="12" customHeight="1"/>
    <row r="41" spans="1:28" ht="12" customHeight="1"/>
    <row r="42" spans="1:28" ht="12" customHeight="1"/>
    <row r="43" spans="1:28" ht="12" customHeight="1"/>
    <row r="44" spans="1:28" ht="12" customHeight="1"/>
    <row r="45" spans="1:28" ht="12" customHeight="1"/>
    <row r="46" spans="1:28" ht="12" customHeight="1"/>
    <row r="47" spans="1:28" ht="12" customHeight="1"/>
    <row r="48" spans="1:2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spans="1:10" ht="12" customHeight="1"/>
    <row r="82" spans="1:10" ht="12" customHeight="1"/>
    <row r="83" spans="1:10" ht="12" customHeight="1"/>
    <row r="84" spans="1:10" ht="12" customHeight="1"/>
    <row r="85" spans="1:10" ht="12" customHeight="1"/>
    <row r="86" spans="1:10" ht="12" customHeight="1"/>
    <row r="87" spans="1:10" ht="12" customHeight="1">
      <c r="A87" s="7"/>
      <c r="B87" s="7"/>
      <c r="C87" s="7"/>
      <c r="D87" s="7"/>
      <c r="E87" s="7"/>
      <c r="F87" s="7"/>
      <c r="G87" s="7"/>
      <c r="H87" s="7"/>
      <c r="I87" s="7"/>
      <c r="J87" s="7"/>
    </row>
    <row r="88" spans="1:10" ht="12" customHeight="1"/>
    <row r="89" spans="1:10" ht="12" customHeight="1"/>
    <row r="90" spans="1:10" ht="12" customHeight="1"/>
    <row r="91" spans="1:10" ht="12" customHeight="1"/>
    <row r="92" spans="1:10" ht="12" customHeight="1"/>
    <row r="93" spans="1:10" ht="12" customHeight="1"/>
    <row r="94" spans="1:10" ht="12" customHeight="1"/>
    <row r="95" spans="1:10" ht="12" customHeight="1"/>
    <row r="96" spans="1:10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spans="1:10" ht="12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</row>
    <row r="146" spans="1:10" ht="12" customHeight="1"/>
    <row r="147" spans="1:10" ht="12" customHeight="1"/>
    <row r="148" spans="1:10" ht="12" customHeight="1"/>
    <row r="149" spans="1:10" ht="12" customHeight="1"/>
    <row r="150" spans="1:10" ht="12" customHeight="1"/>
    <row r="151" spans="1:10" ht="12" customHeight="1"/>
    <row r="152" spans="1:10" ht="12" customHeight="1"/>
    <row r="153" spans="1:10" ht="12" customHeight="1"/>
    <row r="154" spans="1:10" ht="12" customHeight="1"/>
    <row r="155" spans="1:10" ht="12" customHeight="1"/>
    <row r="156" spans="1:10" ht="12" customHeight="1"/>
    <row r="157" spans="1:10" ht="12" customHeight="1"/>
    <row r="158" spans="1:10" ht="12" customHeight="1"/>
    <row r="159" spans="1:10" ht="12" customHeight="1"/>
    <row r="160" spans="1:1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</sheetData>
  <mergeCells count="50">
    <mergeCell ref="U7:W7"/>
    <mergeCell ref="X7:AB7"/>
    <mergeCell ref="A7:E7"/>
    <mergeCell ref="F7:T7"/>
    <mergeCell ref="Y10:AB10"/>
    <mergeCell ref="A6:E6"/>
    <mergeCell ref="F6:AB6"/>
    <mergeCell ref="U5:V5"/>
    <mergeCell ref="W5:AB5"/>
    <mergeCell ref="W4:AB4"/>
    <mergeCell ref="A5:E5"/>
    <mergeCell ref="F5:T5"/>
    <mergeCell ref="A1:AB3"/>
    <mergeCell ref="A4:E4"/>
    <mergeCell ref="F4:Q4"/>
    <mergeCell ref="R4:S4"/>
    <mergeCell ref="U4:V4"/>
    <mergeCell ref="U8:W8"/>
    <mergeCell ref="X8:AB8"/>
    <mergeCell ref="C9:K9"/>
    <mergeCell ref="O9:P13"/>
    <mergeCell ref="Y11:AB11"/>
    <mergeCell ref="Q13:R13"/>
    <mergeCell ref="S13:T13"/>
    <mergeCell ref="U13:X13"/>
    <mergeCell ref="Q10:R10"/>
    <mergeCell ref="U10:X10"/>
    <mergeCell ref="Y9:AB9"/>
    <mergeCell ref="S10:T10"/>
    <mergeCell ref="S12:T12"/>
    <mergeCell ref="S11:T11"/>
    <mergeCell ref="C12:K12"/>
    <mergeCell ref="A8:E8"/>
    <mergeCell ref="F8:T8"/>
    <mergeCell ref="A9:B13"/>
    <mergeCell ref="C11:K11"/>
    <mergeCell ref="Q11:R11"/>
    <mergeCell ref="U11:X11"/>
    <mergeCell ref="A26:AB33"/>
    <mergeCell ref="K25:S25"/>
    <mergeCell ref="A16:AB23"/>
    <mergeCell ref="K15:S15"/>
    <mergeCell ref="C13:K13"/>
    <mergeCell ref="U9:X9"/>
    <mergeCell ref="Y13:AB13"/>
    <mergeCell ref="Y12:AB12"/>
    <mergeCell ref="Q12:R12"/>
    <mergeCell ref="Q9:T9"/>
    <mergeCell ref="U12:X12"/>
    <mergeCell ref="C10:K10"/>
  </mergeCells>
  <phoneticPr fontId="0" type="noConversion"/>
  <pageMargins left="0.78749999999999998" right="0.78749999999999998" top="0.78749999999999998" bottom="0.78750000000000009" header="0.51180555555555562" footer="0.51180555555555562"/>
  <pageSetup paperSize="9" firstPageNumber="0" orientation="portrait" horizontalDpi="300" verticalDpi="300"/>
  <headerFooter alignWithMargins="0">
    <oddFooter>&amp;R&amp;"Tahoma,Normal"&amp;8&amp;F - &amp;A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1"/>
  <dimension ref="A1:U40"/>
  <sheetViews>
    <sheetView showGridLines="0" zoomScaleNormal="100" zoomScaleSheetLayoutView="100" workbookViewId="0">
      <pane ySplit="7" topLeftCell="A8" activePane="bottomLeft" state="frozen"/>
      <selection pane="bottomLeft" activeCell="I28" sqref="I28"/>
    </sheetView>
  </sheetViews>
  <sheetFormatPr defaultRowHeight="12.75"/>
  <cols>
    <col min="1" max="4" width="7.7109375" style="8" customWidth="1"/>
    <col min="5" max="5" width="21.85546875" style="8" customWidth="1"/>
    <col min="6" max="6" width="11.7109375" style="8" customWidth="1"/>
    <col min="7" max="7" width="11.140625" style="94" customWidth="1"/>
    <col min="8" max="8" width="5.28515625" style="8" customWidth="1"/>
    <col min="9" max="9" width="7" style="8" customWidth="1"/>
    <col min="10" max="11" width="5.140625" style="8" customWidth="1"/>
    <col min="12" max="12" width="7.42578125" style="8" hidden="1" customWidth="1"/>
    <col min="13" max="13" width="10" style="8" hidden="1" customWidth="1"/>
    <col min="14" max="14" width="9.7109375" style="8" customWidth="1"/>
    <col min="15" max="15" width="5.7109375" style="8" customWidth="1"/>
    <col min="16" max="16" width="9.42578125" style="8" customWidth="1"/>
    <col min="17" max="18" width="16.7109375" style="8" customWidth="1"/>
    <col min="19" max="19" width="1.85546875" style="8" customWidth="1"/>
    <col min="20" max="20" width="37.85546875" style="8" customWidth="1"/>
    <col min="21" max="21" width="16.7109375" style="8" hidden="1" customWidth="1"/>
    <col min="22" max="22" width="12.7109375" style="8" customWidth="1"/>
    <col min="23" max="16384" width="9.140625" style="8"/>
  </cols>
  <sheetData>
    <row r="1" spans="1:21" s="1" customFormat="1" ht="15" customHeight="1">
      <c r="A1" s="128" t="s">
        <v>27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9"/>
      <c r="R1" s="9"/>
      <c r="S1" s="9"/>
      <c r="T1" s="9"/>
      <c r="U1" s="9"/>
    </row>
    <row r="2" spans="1:21" s="1" customFormat="1" ht="15" customHeight="1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9"/>
      <c r="R2" s="9"/>
      <c r="S2" s="9"/>
      <c r="T2" s="9"/>
      <c r="U2" s="9"/>
    </row>
    <row r="3" spans="1:21" s="1" customFormat="1" ht="12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9"/>
      <c r="R3" s="9"/>
      <c r="S3" s="9"/>
      <c r="T3" s="9"/>
      <c r="U3" s="9"/>
    </row>
    <row r="4" spans="1:21" s="1" customFormat="1" ht="15" customHeight="1">
      <c r="A4" s="129" t="str">
        <f>Contagem!A5&amp;" : "&amp;Contagem!F5</f>
        <v xml:space="preserve">Aplicação : </v>
      </c>
      <c r="B4" s="129"/>
      <c r="C4" s="129"/>
      <c r="D4" s="129"/>
      <c r="E4" s="129"/>
      <c r="F4" s="129"/>
      <c r="G4" s="92"/>
      <c r="H4" s="125" t="str">
        <f>Contagem!A6&amp;" : "&amp;Contagem!F6</f>
        <v xml:space="preserve">Projeto : </v>
      </c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</row>
    <row r="5" spans="1:21" s="11" customFormat="1" ht="15" customHeight="1">
      <c r="A5" s="130" t="str">
        <f>Contagem!A7&amp;" : "&amp;Contagem!F7</f>
        <v xml:space="preserve">Responsável : </v>
      </c>
      <c r="B5" s="130"/>
      <c r="C5" s="130"/>
      <c r="D5" s="130"/>
      <c r="E5" s="130"/>
      <c r="F5" s="130"/>
      <c r="G5" s="92"/>
      <c r="H5" s="125" t="str">
        <f>Contagem!A8&amp;" : "&amp;Contagem!F8</f>
        <v xml:space="preserve">Revisor : </v>
      </c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</row>
    <row r="6" spans="1:21" s="11" customFormat="1" ht="15" customHeight="1">
      <c r="A6" s="124" t="str">
        <f>Contagem!A4&amp;" : "&amp;Contagem!F4</f>
        <v>Empresa : TRIBUNAL REGIONAL DO TRABALHO DA 9ª REGIÃO</v>
      </c>
      <c r="B6" s="124"/>
      <c r="C6" s="124"/>
      <c r="D6" s="124"/>
      <c r="E6" s="124"/>
      <c r="F6" s="125" t="str">
        <f>Contagem!R4&amp;" = "&amp;VALUE(Contagem!T4)</f>
        <v>R$/PF = 0</v>
      </c>
      <c r="G6" s="125"/>
      <c r="H6" s="125"/>
      <c r="I6" s="126" t="str">
        <f>" Custo= "&amp;DOLLAR(Contagem!W4)</f>
        <v xml:space="preserve"> Custo= $0.00</v>
      </c>
      <c r="J6" s="126"/>
      <c r="K6" s="126"/>
      <c r="L6" s="126"/>
      <c r="M6" s="126"/>
      <c r="N6" s="126"/>
      <c r="O6" s="127" t="str">
        <f>"PF  = "&amp;VALUE(Contagem!W5)</f>
        <v>PF  = 99</v>
      </c>
      <c r="P6" s="127"/>
      <c r="Q6" s="62"/>
      <c r="R6" s="62"/>
      <c r="S6" s="62"/>
      <c r="T6" s="62"/>
      <c r="U6" s="63"/>
    </row>
    <row r="7" spans="1:21" s="11" customFormat="1" ht="15" customHeight="1">
      <c r="A7" s="122" t="s">
        <v>28</v>
      </c>
      <c r="B7" s="122"/>
      <c r="C7" s="122"/>
      <c r="D7" s="122"/>
      <c r="E7" s="122"/>
      <c r="F7" s="122"/>
      <c r="G7" s="91" t="s">
        <v>29</v>
      </c>
      <c r="H7" s="58" t="s">
        <v>30</v>
      </c>
      <c r="I7" s="59" t="s">
        <v>31</v>
      </c>
      <c r="J7" s="60" t="s">
        <v>32</v>
      </c>
      <c r="K7" s="60" t="s">
        <v>33</v>
      </c>
      <c r="L7" s="60" t="s">
        <v>34</v>
      </c>
      <c r="M7" s="60" t="s">
        <v>35</v>
      </c>
      <c r="N7" s="60" t="s">
        <v>36</v>
      </c>
      <c r="O7" s="60" t="s">
        <v>6</v>
      </c>
      <c r="P7" s="61" t="s">
        <v>17</v>
      </c>
      <c r="Q7" s="123" t="s">
        <v>37</v>
      </c>
      <c r="R7" s="123"/>
      <c r="S7" s="123"/>
      <c r="T7" s="123"/>
      <c r="U7" s="123"/>
    </row>
    <row r="8" spans="1:21" ht="18" customHeight="1">
      <c r="A8" s="143" t="s">
        <v>38</v>
      </c>
      <c r="B8" s="144"/>
      <c r="C8" s="144"/>
      <c r="D8" s="144"/>
      <c r="E8" s="144"/>
      <c r="F8" s="145"/>
      <c r="G8" s="93"/>
      <c r="H8" s="13" t="s">
        <v>39</v>
      </c>
      <c r="I8" s="13" t="s">
        <v>40</v>
      </c>
      <c r="J8" s="64">
        <v>7</v>
      </c>
      <c r="K8" s="64">
        <v>1</v>
      </c>
      <c r="L8" s="13"/>
      <c r="M8" s="14"/>
      <c r="N8" s="15" t="s">
        <v>41</v>
      </c>
      <c r="O8" s="16">
        <f>VLOOKUP(H8, 'Pesos IFPUG'!$A$2:$D$6, MATCH(N8, 'Pesos IFPUG'!$A$1:$D$1, 0), FALSE)</f>
        <v>7</v>
      </c>
      <c r="P8" s="17"/>
      <c r="Q8" s="149" t="s">
        <v>42</v>
      </c>
      <c r="R8" s="148"/>
      <c r="S8" s="148"/>
      <c r="T8" s="148"/>
      <c r="U8" s="12"/>
    </row>
    <row r="9" spans="1:21" ht="18" customHeight="1">
      <c r="A9" s="142" t="s">
        <v>43</v>
      </c>
      <c r="B9" s="146"/>
      <c r="C9" s="146"/>
      <c r="D9" s="146"/>
      <c r="E9" s="146"/>
      <c r="F9" s="147"/>
      <c r="G9" s="93"/>
      <c r="H9" s="13" t="s">
        <v>39</v>
      </c>
      <c r="I9" s="13" t="s">
        <v>40</v>
      </c>
      <c r="J9" s="64">
        <v>6</v>
      </c>
      <c r="K9" s="64">
        <v>2</v>
      </c>
      <c r="L9" s="13"/>
      <c r="M9" s="14"/>
      <c r="N9" s="15" t="s">
        <v>41</v>
      </c>
      <c r="O9" s="16">
        <f>VLOOKUP(H9, 'Pesos IFPUG'!$A$2:$D$6, MATCH(N9, 'Pesos IFPUG'!$A$1:$D$1, 0), FALSE)</f>
        <v>7</v>
      </c>
      <c r="P9" s="17"/>
      <c r="Q9" s="149" t="s">
        <v>44</v>
      </c>
      <c r="R9" s="148"/>
      <c r="S9" s="148"/>
      <c r="T9" s="148"/>
      <c r="U9" s="12"/>
    </row>
    <row r="10" spans="1:21" ht="18" customHeight="1">
      <c r="A10" s="142" t="s">
        <v>45</v>
      </c>
      <c r="B10" s="146"/>
      <c r="C10" s="146"/>
      <c r="D10" s="146"/>
      <c r="E10" s="146"/>
      <c r="F10" s="147"/>
      <c r="G10" s="93"/>
      <c r="H10" s="13" t="s">
        <v>39</v>
      </c>
      <c r="I10" s="13" t="s">
        <v>40</v>
      </c>
      <c r="J10" s="64">
        <v>5</v>
      </c>
      <c r="K10" s="64">
        <v>3</v>
      </c>
      <c r="L10" s="13"/>
      <c r="M10" s="14"/>
      <c r="N10" s="15" t="s">
        <v>41</v>
      </c>
      <c r="O10" s="16">
        <f>VLOOKUP(H10, 'Pesos IFPUG'!$A$2:$D$6, MATCH(N10, 'Pesos IFPUG'!$A$1:$D$1, 0), FALSE)</f>
        <v>7</v>
      </c>
      <c r="P10" s="17"/>
      <c r="Q10" s="149" t="s">
        <v>46</v>
      </c>
      <c r="R10" s="148"/>
      <c r="S10" s="148"/>
      <c r="T10" s="148"/>
      <c r="U10" s="12"/>
    </row>
    <row r="11" spans="1:21" ht="18" customHeight="1">
      <c r="A11" s="142" t="s">
        <v>47</v>
      </c>
      <c r="B11" s="146"/>
      <c r="C11" s="146"/>
      <c r="D11" s="146"/>
      <c r="E11" s="146"/>
      <c r="F11" s="147"/>
      <c r="G11" s="93"/>
      <c r="H11" s="13" t="s">
        <v>39</v>
      </c>
      <c r="I11" s="13" t="s">
        <v>40</v>
      </c>
      <c r="J11" s="64">
        <v>5</v>
      </c>
      <c r="K11" s="64">
        <v>2</v>
      </c>
      <c r="L11" s="13"/>
      <c r="M11" s="14"/>
      <c r="N11" s="15" t="s">
        <v>41</v>
      </c>
      <c r="O11" s="16">
        <f>VLOOKUP(H11, 'Pesos IFPUG'!$A$2:$D$6, MATCH(N11, 'Pesos IFPUG'!$A$1:$D$1, 0), FALSE)</f>
        <v>7</v>
      </c>
      <c r="P11" s="17"/>
      <c r="Q11" s="149" t="s">
        <v>48</v>
      </c>
      <c r="R11" s="148"/>
      <c r="S11" s="148"/>
      <c r="T11" s="148"/>
      <c r="U11" s="12"/>
    </row>
    <row r="12" spans="1:21" ht="18" customHeight="1">
      <c r="A12" s="142" t="s">
        <v>49</v>
      </c>
      <c r="B12" s="146"/>
      <c r="C12" s="146"/>
      <c r="D12" s="146"/>
      <c r="E12" s="146"/>
      <c r="F12" s="147"/>
      <c r="G12" s="93"/>
      <c r="H12" s="13" t="s">
        <v>39</v>
      </c>
      <c r="I12" s="13" t="s">
        <v>40</v>
      </c>
      <c r="J12" s="64">
        <v>4</v>
      </c>
      <c r="K12" s="64">
        <v>2</v>
      </c>
      <c r="L12" s="13"/>
      <c r="M12" s="14"/>
      <c r="N12" s="15" t="s">
        <v>41</v>
      </c>
      <c r="O12" s="16">
        <f>VLOOKUP(H12, 'Pesos IFPUG'!$A$2:$D$6, MATCH(N12, 'Pesos IFPUG'!$A$1:$D$1, 0), FALSE)</f>
        <v>7</v>
      </c>
      <c r="P12" s="17"/>
      <c r="Q12" s="149" t="s">
        <v>50</v>
      </c>
      <c r="R12" s="148"/>
      <c r="S12" s="148"/>
      <c r="T12" s="148"/>
      <c r="U12" s="12"/>
    </row>
    <row r="13" spans="1:21" ht="18" customHeight="1">
      <c r="A13" s="142" t="s">
        <v>51</v>
      </c>
      <c r="B13" s="146"/>
      <c r="C13" s="146"/>
      <c r="D13" s="146"/>
      <c r="E13" s="146"/>
      <c r="F13" s="147"/>
      <c r="G13" s="93"/>
      <c r="H13" s="13" t="s">
        <v>39</v>
      </c>
      <c r="I13" s="13" t="s">
        <v>40</v>
      </c>
      <c r="J13" s="64">
        <v>4</v>
      </c>
      <c r="K13" s="64">
        <v>1</v>
      </c>
      <c r="L13" s="13"/>
      <c r="M13" s="14"/>
      <c r="N13" s="15" t="s">
        <v>41</v>
      </c>
      <c r="O13" s="16">
        <f>VLOOKUP(H13, 'Pesos IFPUG'!$A$2:$D$6, MATCH(N13, 'Pesos IFPUG'!$A$1:$D$1, 0), FALSE)</f>
        <v>7</v>
      </c>
      <c r="P13" s="17"/>
      <c r="Q13" s="149" t="s">
        <v>52</v>
      </c>
      <c r="R13" s="148"/>
      <c r="S13" s="148"/>
      <c r="T13" s="148"/>
      <c r="U13" s="12"/>
    </row>
    <row r="14" spans="1:21" ht="18" customHeight="1">
      <c r="A14" s="142" t="s">
        <v>53</v>
      </c>
      <c r="B14" s="146"/>
      <c r="C14" s="146"/>
      <c r="D14" s="146"/>
      <c r="E14" s="146"/>
      <c r="F14" s="147"/>
      <c r="G14" s="93"/>
      <c r="H14" s="13" t="s">
        <v>39</v>
      </c>
      <c r="I14" s="13" t="s">
        <v>40</v>
      </c>
      <c r="J14" s="64">
        <v>4</v>
      </c>
      <c r="K14" s="64">
        <v>1</v>
      </c>
      <c r="L14" s="13"/>
      <c r="M14" s="14"/>
      <c r="N14" s="15" t="s">
        <v>41</v>
      </c>
      <c r="O14" s="16">
        <f>VLOOKUP(H14, 'Pesos IFPUG'!$A$2:$D$6, MATCH(N14, 'Pesos IFPUG'!$A$1:$D$1, 0), FALSE)</f>
        <v>7</v>
      </c>
      <c r="P14" s="17"/>
      <c r="Q14" s="149" t="s">
        <v>54</v>
      </c>
      <c r="R14" s="148"/>
      <c r="S14" s="148"/>
      <c r="T14" s="148"/>
      <c r="U14" s="12"/>
    </row>
    <row r="15" spans="1:21" ht="18" customHeight="1">
      <c r="A15" s="142" t="s">
        <v>55</v>
      </c>
      <c r="B15" s="146"/>
      <c r="C15" s="146"/>
      <c r="D15" s="146"/>
      <c r="E15" s="146"/>
      <c r="F15" s="147"/>
      <c r="G15" s="93"/>
      <c r="H15" s="13" t="s">
        <v>56</v>
      </c>
      <c r="I15" s="13" t="s">
        <v>40</v>
      </c>
      <c r="J15" s="64">
        <v>2</v>
      </c>
      <c r="K15" s="64">
        <v>1</v>
      </c>
      <c r="L15" s="13"/>
      <c r="M15" s="14"/>
      <c r="N15" s="15" t="s">
        <v>57</v>
      </c>
      <c r="O15" s="16">
        <f>VLOOKUP(H15, 'Pesos IFPUG'!$A$2:$D$6, MATCH(N15, 'Pesos IFPUG'!$A$1:$D$1, 0), FALSE)</f>
        <v>3</v>
      </c>
      <c r="P15" s="17"/>
      <c r="Q15" s="149" t="s">
        <v>58</v>
      </c>
      <c r="R15" s="148"/>
      <c r="S15" s="148"/>
      <c r="T15" s="148"/>
      <c r="U15" s="12"/>
    </row>
    <row r="16" spans="1:21" ht="18" customHeight="1">
      <c r="A16" s="142" t="s">
        <v>59</v>
      </c>
      <c r="B16" s="146"/>
      <c r="C16" s="146"/>
      <c r="D16" s="146"/>
      <c r="E16" s="146"/>
      <c r="F16" s="147"/>
      <c r="G16" s="93"/>
      <c r="H16" s="13" t="s">
        <v>56</v>
      </c>
      <c r="I16" s="13" t="s">
        <v>40</v>
      </c>
      <c r="J16" s="64">
        <v>2</v>
      </c>
      <c r="K16" s="64">
        <v>2</v>
      </c>
      <c r="L16" s="13"/>
      <c r="M16" s="14"/>
      <c r="N16" s="15" t="s">
        <v>41</v>
      </c>
      <c r="O16" s="16">
        <f>VLOOKUP(H16, 'Pesos IFPUG'!$A$2:$D$6, MATCH(N16, 'Pesos IFPUG'!$A$1:$D$1, 0), FALSE)</f>
        <v>4</v>
      </c>
      <c r="P16" s="17"/>
      <c r="Q16" s="149" t="s">
        <v>60</v>
      </c>
      <c r="R16" s="148"/>
      <c r="S16" s="148"/>
      <c r="T16" s="148"/>
      <c r="U16" s="12"/>
    </row>
    <row r="17" spans="1:21" ht="18" customHeight="1">
      <c r="A17" s="142" t="s">
        <v>61</v>
      </c>
      <c r="B17" s="146"/>
      <c r="C17" s="146"/>
      <c r="D17" s="146"/>
      <c r="E17" s="146"/>
      <c r="F17" s="147"/>
      <c r="G17" s="93"/>
      <c r="H17" s="13" t="s">
        <v>56</v>
      </c>
      <c r="I17" s="13" t="s">
        <v>40</v>
      </c>
      <c r="J17" s="64">
        <v>1</v>
      </c>
      <c r="K17" s="64">
        <v>2</v>
      </c>
      <c r="L17" s="13"/>
      <c r="M17" s="14"/>
      <c r="N17" s="15" t="s">
        <v>41</v>
      </c>
      <c r="O17" s="16">
        <f>VLOOKUP(H17, 'Pesos IFPUG'!$A$2:$D$6, MATCH(N17, 'Pesos IFPUG'!$A$1:$D$1, 0), FALSE)</f>
        <v>4</v>
      </c>
      <c r="P17" s="17"/>
      <c r="Q17" s="149" t="s">
        <v>62</v>
      </c>
      <c r="R17" s="148"/>
      <c r="S17" s="148"/>
      <c r="T17" s="148"/>
      <c r="U17" s="12"/>
    </row>
    <row r="18" spans="1:21" ht="18" customHeight="1">
      <c r="A18" s="142" t="s">
        <v>63</v>
      </c>
      <c r="B18" s="146"/>
      <c r="C18" s="146"/>
      <c r="D18" s="146"/>
      <c r="E18" s="146"/>
      <c r="F18" s="147"/>
      <c r="G18" s="93"/>
      <c r="H18" s="13" t="s">
        <v>56</v>
      </c>
      <c r="I18" s="13" t="s">
        <v>40</v>
      </c>
      <c r="J18" s="64">
        <v>1</v>
      </c>
      <c r="K18" s="64">
        <v>1</v>
      </c>
      <c r="L18" s="13"/>
      <c r="M18" s="14"/>
      <c r="N18" s="15" t="s">
        <v>41</v>
      </c>
      <c r="O18" s="16">
        <f>VLOOKUP(H18, 'Pesos IFPUG'!$A$2:$D$6, MATCH(N18, 'Pesos IFPUG'!$A$1:$D$1, 0), FALSE)</f>
        <v>4</v>
      </c>
      <c r="P18" s="17"/>
      <c r="Q18" s="149" t="s">
        <v>64</v>
      </c>
      <c r="R18" s="148"/>
      <c r="S18" s="148"/>
      <c r="T18" s="148"/>
      <c r="U18" s="12"/>
    </row>
    <row r="19" spans="1:21" ht="18" customHeight="1">
      <c r="A19" s="142" t="s">
        <v>65</v>
      </c>
      <c r="B19" s="146"/>
      <c r="C19" s="146"/>
      <c r="D19" s="146"/>
      <c r="E19" s="146"/>
      <c r="F19" s="147"/>
      <c r="G19" s="93"/>
      <c r="H19" s="13" t="s">
        <v>56</v>
      </c>
      <c r="I19" s="13" t="s">
        <v>40</v>
      </c>
      <c r="J19" s="64">
        <v>1</v>
      </c>
      <c r="K19" s="64">
        <v>1</v>
      </c>
      <c r="L19" s="13"/>
      <c r="M19" s="14"/>
      <c r="N19" s="15" t="s">
        <v>41</v>
      </c>
      <c r="O19" s="16">
        <f>VLOOKUP(H19, 'Pesos IFPUG'!$A$2:$D$6, MATCH(N19, 'Pesos IFPUG'!$A$1:$D$1, 0), FALSE)</f>
        <v>4</v>
      </c>
      <c r="P19" s="17"/>
      <c r="Q19" s="149" t="s">
        <v>66</v>
      </c>
      <c r="R19" s="148"/>
      <c r="S19" s="148"/>
      <c r="T19" s="148"/>
      <c r="U19" s="12"/>
    </row>
    <row r="20" spans="1:21" ht="18" customHeight="1">
      <c r="A20" s="142" t="s">
        <v>67</v>
      </c>
      <c r="B20" s="146"/>
      <c r="C20" s="146"/>
      <c r="D20" s="146"/>
      <c r="E20" s="146"/>
      <c r="F20" s="147"/>
      <c r="G20" s="93"/>
      <c r="H20" s="13" t="s">
        <v>68</v>
      </c>
      <c r="I20" s="13" t="s">
        <v>40</v>
      </c>
      <c r="J20" s="64">
        <v>4</v>
      </c>
      <c r="K20" s="64">
        <v>2</v>
      </c>
      <c r="L20" s="13"/>
      <c r="M20" s="14"/>
      <c r="N20" s="15" t="s">
        <v>41</v>
      </c>
      <c r="O20" s="16">
        <f>VLOOKUP(H20, 'Pesos IFPUG'!$A$2:$D$6, MATCH(N20, 'Pesos IFPUG'!$A$1:$D$1, 0), FALSE)</f>
        <v>4</v>
      </c>
      <c r="P20" s="17"/>
      <c r="Q20" s="149" t="s">
        <v>69</v>
      </c>
      <c r="R20" s="148"/>
      <c r="S20" s="148"/>
      <c r="T20" s="148"/>
      <c r="U20" s="12"/>
    </row>
    <row r="21" spans="1:21" ht="18" customHeight="1">
      <c r="A21" s="142" t="s">
        <v>43</v>
      </c>
      <c r="B21" s="146"/>
      <c r="C21" s="146"/>
      <c r="D21" s="146"/>
      <c r="E21" s="146"/>
      <c r="F21" s="147"/>
      <c r="G21" s="93"/>
      <c r="H21" s="13" t="s">
        <v>68</v>
      </c>
      <c r="I21" s="13" t="s">
        <v>40</v>
      </c>
      <c r="J21" s="64">
        <v>2</v>
      </c>
      <c r="K21" s="64">
        <v>1</v>
      </c>
      <c r="L21" s="13"/>
      <c r="M21" s="14"/>
      <c r="N21" s="15" t="s">
        <v>41</v>
      </c>
      <c r="O21" s="16">
        <f>VLOOKUP(H21, 'Pesos IFPUG'!$A$2:$D$6, MATCH(N21, 'Pesos IFPUG'!$A$1:$D$1, 0), FALSE)</f>
        <v>4</v>
      </c>
      <c r="P21" s="17"/>
      <c r="Q21" s="149" t="s">
        <v>70</v>
      </c>
      <c r="R21" s="148"/>
      <c r="S21" s="148"/>
      <c r="T21" s="148"/>
      <c r="U21" s="12"/>
    </row>
    <row r="22" spans="1:21" ht="18" customHeight="1">
      <c r="A22" s="142" t="s">
        <v>51</v>
      </c>
      <c r="B22" s="146"/>
      <c r="C22" s="146"/>
      <c r="D22" s="146"/>
      <c r="E22" s="146"/>
      <c r="F22" s="147"/>
      <c r="G22" s="93"/>
      <c r="H22" s="13" t="s">
        <v>68</v>
      </c>
      <c r="I22" s="13" t="s">
        <v>40</v>
      </c>
      <c r="J22" s="64">
        <v>2</v>
      </c>
      <c r="K22" s="64">
        <v>1</v>
      </c>
      <c r="L22" s="13"/>
      <c r="M22" s="14"/>
      <c r="N22" s="15" t="s">
        <v>41</v>
      </c>
      <c r="O22" s="16">
        <f>VLOOKUP(H22, 'Pesos IFPUG'!$A$2:$D$6, MATCH(N22, 'Pesos IFPUG'!$A$1:$D$1, 0), FALSE)</f>
        <v>4</v>
      </c>
      <c r="P22" s="17"/>
      <c r="Q22" s="149" t="s">
        <v>71</v>
      </c>
      <c r="R22" s="148"/>
      <c r="S22" s="148"/>
      <c r="T22" s="148"/>
      <c r="U22" s="12"/>
    </row>
    <row r="23" spans="1:21" ht="18" customHeight="1">
      <c r="A23" s="142" t="s">
        <v>49</v>
      </c>
      <c r="B23" s="146"/>
      <c r="C23" s="146"/>
      <c r="D23" s="146"/>
      <c r="E23" s="146"/>
      <c r="F23" s="147"/>
      <c r="G23" s="93"/>
      <c r="H23" s="13" t="s">
        <v>68</v>
      </c>
      <c r="I23" s="13" t="s">
        <v>40</v>
      </c>
      <c r="J23" s="64">
        <v>2</v>
      </c>
      <c r="K23" s="64">
        <v>1</v>
      </c>
      <c r="L23" s="13"/>
      <c r="M23" s="14"/>
      <c r="N23" s="15" t="s">
        <v>41</v>
      </c>
      <c r="O23" s="16">
        <f>VLOOKUP(H23, 'Pesos IFPUG'!$A$2:$D$6, MATCH(N23, 'Pesos IFPUG'!$A$1:$D$1, 0), FALSE)</f>
        <v>4</v>
      </c>
      <c r="P23" s="17"/>
      <c r="Q23" s="149" t="s">
        <v>72</v>
      </c>
      <c r="R23" s="148"/>
      <c r="S23" s="148"/>
      <c r="T23" s="148"/>
      <c r="U23" s="12"/>
    </row>
    <row r="24" spans="1:21" ht="18" customHeight="1">
      <c r="A24" s="142" t="s">
        <v>73</v>
      </c>
      <c r="B24" s="146"/>
      <c r="C24" s="146"/>
      <c r="D24" s="146"/>
      <c r="E24" s="146"/>
      <c r="F24" s="147"/>
      <c r="G24" s="93"/>
      <c r="H24" s="13" t="s">
        <v>74</v>
      </c>
      <c r="I24" s="13" t="s">
        <v>40</v>
      </c>
      <c r="J24" s="64">
        <v>4</v>
      </c>
      <c r="K24" s="64">
        <v>2</v>
      </c>
      <c r="L24" s="13"/>
      <c r="M24" s="14"/>
      <c r="N24" s="15" t="s">
        <v>41</v>
      </c>
      <c r="O24" s="16">
        <f>VLOOKUP(H24, 'Pesos IFPUG'!$A$2:$D$6, MATCH(N24, 'Pesos IFPUG'!$A$1:$D$1, 0), FALSE)</f>
        <v>5</v>
      </c>
      <c r="P24" s="17"/>
      <c r="Q24" s="149" t="s">
        <v>75</v>
      </c>
      <c r="R24" s="148"/>
      <c r="S24" s="148"/>
      <c r="T24" s="148"/>
      <c r="U24" s="12"/>
    </row>
    <row r="25" spans="1:21" ht="18" customHeight="1">
      <c r="A25" s="142" t="s">
        <v>45</v>
      </c>
      <c r="B25" s="146"/>
      <c r="C25" s="146"/>
      <c r="D25" s="146"/>
      <c r="E25" s="146"/>
      <c r="F25" s="147"/>
      <c r="G25" s="93"/>
      <c r="H25" s="13" t="s">
        <v>74</v>
      </c>
      <c r="I25" s="13" t="s">
        <v>40</v>
      </c>
      <c r="J25" s="64">
        <v>4</v>
      </c>
      <c r="K25" s="64">
        <v>2</v>
      </c>
      <c r="L25" s="13"/>
      <c r="M25" s="14"/>
      <c r="N25" s="15" t="s">
        <v>41</v>
      </c>
      <c r="O25" s="16">
        <f>VLOOKUP(H25, 'Pesos IFPUG'!$A$2:$D$6, MATCH(N25, 'Pesos IFPUG'!$A$1:$D$1, 0), FALSE)</f>
        <v>5</v>
      </c>
      <c r="P25" s="17"/>
      <c r="Q25" s="149" t="s">
        <v>76</v>
      </c>
      <c r="R25" s="148"/>
      <c r="S25" s="148"/>
      <c r="T25" s="148"/>
      <c r="U25" s="12"/>
    </row>
    <row r="26" spans="1:21" ht="18" customHeight="1">
      <c r="A26" s="142" t="s">
        <v>77</v>
      </c>
      <c r="B26" s="146"/>
      <c r="C26" s="146"/>
      <c r="D26" s="146"/>
      <c r="E26" s="146"/>
      <c r="F26" s="147"/>
      <c r="G26" s="93"/>
      <c r="H26" s="13" t="s">
        <v>74</v>
      </c>
      <c r="I26" s="13" t="s">
        <v>40</v>
      </c>
      <c r="J26" s="64">
        <v>4</v>
      </c>
      <c r="K26" s="64">
        <v>2</v>
      </c>
      <c r="L26" s="13"/>
      <c r="M26" s="14"/>
      <c r="N26" s="15" t="s">
        <v>41</v>
      </c>
      <c r="O26" s="16">
        <f>VLOOKUP(H26, 'Pesos IFPUG'!$A$2:$D$6, MATCH(N26, 'Pesos IFPUG'!$A$1:$D$1, 0), FALSE)</f>
        <v>5</v>
      </c>
      <c r="P26" s="17"/>
      <c r="Q26" s="149" t="s">
        <v>78</v>
      </c>
      <c r="R26" s="148"/>
      <c r="S26" s="148"/>
      <c r="T26" s="148"/>
      <c r="U26" s="12"/>
    </row>
    <row r="27" spans="1:21" ht="18" customHeight="1">
      <c r="A27" s="87"/>
      <c r="B27" s="88"/>
      <c r="C27" s="88"/>
      <c r="D27" s="88"/>
      <c r="E27" s="88"/>
      <c r="F27" s="89"/>
      <c r="G27" s="93"/>
      <c r="H27" s="13"/>
      <c r="I27" s="13"/>
      <c r="J27" s="64"/>
      <c r="K27" s="64"/>
      <c r="L27" s="13"/>
      <c r="M27" s="14"/>
      <c r="N27" s="15"/>
      <c r="O27" s="16"/>
      <c r="P27" s="17"/>
      <c r="Q27" s="12"/>
      <c r="R27" s="12"/>
      <c r="S27" s="12"/>
      <c r="T27" s="12"/>
      <c r="U27" s="12"/>
    </row>
    <row r="28" spans="1:21" ht="18" customHeight="1">
      <c r="A28" s="87"/>
      <c r="B28" s="88"/>
      <c r="C28" s="88"/>
      <c r="D28" s="88"/>
      <c r="E28" s="88"/>
      <c r="F28" s="89"/>
      <c r="G28" s="93"/>
      <c r="H28" s="13"/>
      <c r="I28" s="13"/>
      <c r="J28" s="64"/>
      <c r="K28" s="64"/>
      <c r="L28" s="13"/>
      <c r="M28" s="14"/>
      <c r="N28" s="15"/>
      <c r="O28" s="16"/>
      <c r="P28" s="17"/>
      <c r="Q28" s="12"/>
      <c r="R28" s="12"/>
      <c r="S28" s="12"/>
      <c r="T28" s="12"/>
      <c r="U28" s="12"/>
    </row>
    <row r="29" spans="1:21" ht="18" customHeight="1">
      <c r="A29" s="87"/>
      <c r="B29" s="88"/>
      <c r="C29" s="88"/>
      <c r="D29" s="88"/>
      <c r="E29" s="88"/>
      <c r="F29" s="89"/>
      <c r="G29" s="93"/>
      <c r="H29" s="13"/>
      <c r="I29" s="13"/>
      <c r="J29" s="64"/>
      <c r="K29" s="64"/>
      <c r="L29" s="13"/>
      <c r="M29" s="14"/>
      <c r="N29" s="15"/>
      <c r="O29" s="16"/>
      <c r="P29" s="17"/>
      <c r="Q29" s="12"/>
      <c r="R29" s="12"/>
      <c r="S29" s="12"/>
      <c r="T29" s="12"/>
      <c r="U29" s="12"/>
    </row>
    <row r="30" spans="1:21" ht="18" customHeight="1">
      <c r="A30" s="87"/>
      <c r="B30" s="88"/>
      <c r="C30" s="88"/>
      <c r="D30" s="88"/>
      <c r="E30" s="88"/>
      <c r="F30" s="89"/>
      <c r="G30" s="93"/>
      <c r="H30" s="13"/>
      <c r="I30" s="13"/>
      <c r="J30" s="64"/>
      <c r="K30" s="64"/>
      <c r="L30" s="13"/>
      <c r="M30" s="14"/>
      <c r="N30" s="15"/>
      <c r="O30" s="16"/>
      <c r="P30" s="17"/>
      <c r="Q30" s="12"/>
      <c r="R30" s="12"/>
      <c r="S30" s="12"/>
      <c r="T30" s="12"/>
      <c r="U30" s="12"/>
    </row>
    <row r="31" spans="1:21" ht="18" customHeight="1">
      <c r="A31" s="87"/>
      <c r="B31" s="88"/>
      <c r="C31" s="88"/>
      <c r="D31" s="88"/>
      <c r="E31" s="88"/>
      <c r="F31" s="89"/>
      <c r="G31" s="93"/>
      <c r="H31" s="13"/>
      <c r="I31" s="13"/>
      <c r="J31" s="64"/>
      <c r="K31" s="64"/>
      <c r="L31" s="13"/>
      <c r="M31" s="14"/>
      <c r="N31" s="15"/>
      <c r="O31" s="16"/>
      <c r="P31" s="17"/>
      <c r="Q31" s="12"/>
      <c r="R31" s="12"/>
      <c r="S31" s="12"/>
      <c r="T31" s="12"/>
      <c r="U31" s="12"/>
    </row>
    <row r="32" spans="1:21" ht="18" customHeight="1">
      <c r="A32" s="87"/>
      <c r="B32" s="88"/>
      <c r="C32" s="88"/>
      <c r="D32" s="88"/>
      <c r="E32" s="88"/>
      <c r="F32" s="89"/>
      <c r="G32" s="93"/>
      <c r="H32" s="13"/>
      <c r="I32" s="13"/>
      <c r="J32" s="64"/>
      <c r="K32" s="64"/>
      <c r="L32" s="13"/>
      <c r="M32" s="14"/>
      <c r="N32" s="15"/>
      <c r="O32" s="16"/>
      <c r="P32" s="17"/>
      <c r="Q32" s="12"/>
      <c r="R32" s="12"/>
      <c r="S32" s="12"/>
      <c r="T32" s="12"/>
      <c r="U32" s="12"/>
    </row>
    <row r="33" spans="1:21" ht="18" customHeight="1">
      <c r="A33" s="87"/>
      <c r="B33" s="88"/>
      <c r="C33" s="88"/>
      <c r="D33" s="88"/>
      <c r="E33" s="88"/>
      <c r="F33" s="89"/>
      <c r="G33" s="93"/>
      <c r="H33" s="13"/>
      <c r="I33" s="13"/>
      <c r="J33" s="64"/>
      <c r="K33" s="64"/>
      <c r="L33" s="13"/>
      <c r="M33" s="14"/>
      <c r="N33" s="15"/>
      <c r="O33" s="16"/>
      <c r="P33" s="17"/>
      <c r="Q33" s="12"/>
      <c r="R33" s="12"/>
      <c r="S33" s="12"/>
      <c r="T33" s="12"/>
      <c r="U33" s="12"/>
    </row>
    <row r="34" spans="1:21" ht="18" customHeight="1">
      <c r="A34" s="87"/>
      <c r="B34" s="88"/>
      <c r="C34" s="88"/>
      <c r="D34" s="88"/>
      <c r="E34" s="88"/>
      <c r="F34" s="89"/>
      <c r="G34" s="93"/>
      <c r="H34" s="13"/>
      <c r="I34" s="13"/>
      <c r="J34" s="64"/>
      <c r="K34" s="64"/>
      <c r="L34" s="13"/>
      <c r="M34" s="14"/>
      <c r="N34" s="15"/>
      <c r="O34" s="16"/>
      <c r="P34" s="17"/>
      <c r="Q34" s="12"/>
      <c r="R34" s="12"/>
      <c r="S34" s="12"/>
      <c r="T34" s="12"/>
      <c r="U34" s="12"/>
    </row>
    <row r="35" spans="1:21" ht="18" customHeight="1">
      <c r="A35" s="87"/>
      <c r="B35" s="88"/>
      <c r="C35" s="88"/>
      <c r="D35" s="88"/>
      <c r="E35" s="88"/>
      <c r="F35" s="89"/>
      <c r="G35" s="93"/>
      <c r="H35" s="13"/>
      <c r="I35" s="13"/>
      <c r="J35" s="64"/>
      <c r="K35" s="64"/>
      <c r="L35" s="13"/>
      <c r="M35" s="14"/>
      <c r="N35" s="15"/>
      <c r="O35" s="16"/>
      <c r="P35" s="17"/>
      <c r="Q35" s="12"/>
      <c r="R35" s="12"/>
      <c r="S35" s="12"/>
      <c r="T35" s="12"/>
      <c r="U35" s="12"/>
    </row>
    <row r="36" spans="1:21" ht="18" customHeight="1">
      <c r="A36" s="87"/>
      <c r="B36" s="88"/>
      <c r="C36" s="88"/>
      <c r="D36" s="88"/>
      <c r="E36" s="88"/>
      <c r="F36" s="89"/>
      <c r="G36" s="93"/>
      <c r="H36" s="13"/>
      <c r="I36" s="13"/>
      <c r="J36" s="64"/>
      <c r="K36" s="64"/>
      <c r="L36" s="13"/>
      <c r="M36" s="14"/>
      <c r="N36" s="15"/>
      <c r="O36" s="16"/>
      <c r="P36" s="17"/>
      <c r="Q36" s="12"/>
      <c r="R36" s="12"/>
      <c r="S36" s="12"/>
      <c r="T36" s="12"/>
      <c r="U36" s="12"/>
    </row>
    <row r="37" spans="1:21" ht="18" customHeight="1">
      <c r="A37" s="87"/>
      <c r="B37" s="88"/>
      <c r="C37" s="88"/>
      <c r="D37" s="88"/>
      <c r="E37" s="88"/>
      <c r="F37" s="89"/>
      <c r="G37" s="93"/>
      <c r="H37" s="13"/>
      <c r="I37" s="13"/>
      <c r="J37" s="64"/>
      <c r="K37" s="64"/>
      <c r="L37" s="13"/>
      <c r="M37" s="14"/>
      <c r="N37" s="15"/>
      <c r="O37" s="16"/>
      <c r="P37" s="17"/>
      <c r="Q37" s="12"/>
      <c r="R37" s="12"/>
      <c r="S37" s="12"/>
      <c r="T37" s="12"/>
      <c r="U37" s="12"/>
    </row>
    <row r="38" spans="1:21" ht="18" customHeight="1">
      <c r="A38" s="87"/>
      <c r="B38" s="88"/>
      <c r="C38" s="88"/>
      <c r="D38" s="88"/>
      <c r="E38" s="88"/>
      <c r="F38" s="89"/>
      <c r="G38" s="93"/>
      <c r="H38" s="13"/>
      <c r="I38" s="13"/>
      <c r="J38" s="64"/>
      <c r="K38" s="64"/>
      <c r="L38" s="13"/>
      <c r="M38" s="14"/>
      <c r="N38" s="15"/>
      <c r="O38" s="16"/>
      <c r="P38" s="17"/>
      <c r="Q38" s="12"/>
      <c r="R38" s="12"/>
      <c r="S38" s="12"/>
      <c r="T38" s="12"/>
      <c r="U38" s="12"/>
    </row>
    <row r="39" spans="1:21" ht="18" customHeight="1">
      <c r="A39" s="87"/>
      <c r="B39" s="88"/>
      <c r="C39" s="88"/>
      <c r="D39" s="88"/>
      <c r="E39" s="88"/>
      <c r="F39" s="89"/>
      <c r="G39" s="93"/>
      <c r="H39" s="13"/>
      <c r="I39" s="13"/>
      <c r="J39" s="64"/>
      <c r="K39" s="64"/>
      <c r="L39" s="13"/>
      <c r="M39" s="14"/>
      <c r="N39" s="15"/>
      <c r="O39" s="16"/>
      <c r="P39" s="17"/>
      <c r="Q39" s="12"/>
      <c r="R39" s="12"/>
      <c r="S39" s="12"/>
      <c r="T39" s="12"/>
      <c r="U39" s="12"/>
    </row>
    <row r="40" spans="1:21" ht="18" customHeight="1">
      <c r="A40" s="87"/>
      <c r="B40" s="88"/>
      <c r="C40" s="88"/>
      <c r="D40" s="88"/>
      <c r="E40" s="88"/>
      <c r="F40" s="89"/>
      <c r="G40" s="93"/>
      <c r="H40" s="13"/>
      <c r="I40" s="13"/>
      <c r="J40" s="64"/>
      <c r="K40" s="64"/>
      <c r="L40" s="13"/>
      <c r="M40" s="14"/>
      <c r="N40" s="15"/>
      <c r="O40" s="16"/>
      <c r="P40" s="17"/>
      <c r="Q40" s="12"/>
      <c r="R40" s="12"/>
      <c r="S40" s="12"/>
      <c r="T40" s="12"/>
      <c r="U40" s="12"/>
    </row>
  </sheetData>
  <mergeCells count="49">
    <mergeCell ref="Q25:T25"/>
    <mergeCell ref="Q26:T26"/>
    <mergeCell ref="Q20:T20"/>
    <mergeCell ref="Q21:T21"/>
    <mergeCell ref="Q22:T22"/>
    <mergeCell ref="Q23:T23"/>
    <mergeCell ref="Q24:T24"/>
    <mergeCell ref="A23:F23"/>
    <mergeCell ref="A24:F24"/>
    <mergeCell ref="A25:F25"/>
    <mergeCell ref="A26:F26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A18:F18"/>
    <mergeCell ref="A19:F19"/>
    <mergeCell ref="A20:F20"/>
    <mergeCell ref="A21:F21"/>
    <mergeCell ref="A22:F22"/>
    <mergeCell ref="A13:F13"/>
    <mergeCell ref="A14:F14"/>
    <mergeCell ref="A15:F15"/>
    <mergeCell ref="A16:F16"/>
    <mergeCell ref="A17:F17"/>
    <mergeCell ref="A8:F8"/>
    <mergeCell ref="A9:F9"/>
    <mergeCell ref="A10:F10"/>
    <mergeCell ref="A11:F11"/>
    <mergeCell ref="A12:F12"/>
    <mergeCell ref="A1:P3"/>
    <mergeCell ref="A4:F4"/>
    <mergeCell ref="H4:U4"/>
    <mergeCell ref="A5:F5"/>
    <mergeCell ref="H5:U5"/>
    <mergeCell ref="A7:F7"/>
    <mergeCell ref="Q7:U7"/>
    <mergeCell ref="A6:E6"/>
    <mergeCell ref="F6:H6"/>
    <mergeCell ref="I6:N6"/>
    <mergeCell ref="O6:P6"/>
  </mergeCells>
  <phoneticPr fontId="0" type="noConversion"/>
  <conditionalFormatting sqref="I39:I40 I27:I32">
    <cfRule type="cellIs" dxfId="20" priority="247" stopIfTrue="1" operator="equal">
      <formula>"I"</formula>
    </cfRule>
    <cfRule type="cellIs" dxfId="19" priority="248" stopIfTrue="1" operator="equal">
      <formula>"A"</formula>
    </cfRule>
    <cfRule type="cellIs" dxfId="18" priority="249" stopIfTrue="1" operator="equal">
      <formula>"E"</formula>
    </cfRule>
  </conditionalFormatting>
  <conditionalFormatting sqref="I33:I36">
    <cfRule type="cellIs" dxfId="17" priority="205" stopIfTrue="1" operator="equal">
      <formula>"I"</formula>
    </cfRule>
    <cfRule type="cellIs" dxfId="16" priority="206" stopIfTrue="1" operator="equal">
      <formula>"A"</formula>
    </cfRule>
    <cfRule type="cellIs" dxfId="15" priority="207" stopIfTrue="1" operator="equal">
      <formula>"E"</formula>
    </cfRule>
  </conditionalFormatting>
  <conditionalFormatting sqref="I37">
    <cfRule type="cellIs" dxfId="14" priority="202" stopIfTrue="1" operator="equal">
      <formula>"I"</formula>
    </cfRule>
    <cfRule type="cellIs" dxfId="13" priority="203" stopIfTrue="1" operator="equal">
      <formula>"A"</formula>
    </cfRule>
    <cfRule type="cellIs" dxfId="12" priority="204" stopIfTrue="1" operator="equal">
      <formula>"E"</formula>
    </cfRule>
  </conditionalFormatting>
  <conditionalFormatting sqref="I38">
    <cfRule type="cellIs" dxfId="11" priority="199" stopIfTrue="1" operator="equal">
      <formula>"I"</formula>
    </cfRule>
    <cfRule type="cellIs" dxfId="10" priority="200" stopIfTrue="1" operator="equal">
      <formula>"A"</formula>
    </cfRule>
    <cfRule type="cellIs" dxfId="9" priority="201" stopIfTrue="1" operator="equal">
      <formula>"E"</formula>
    </cfRule>
  </conditionalFormatting>
  <conditionalFormatting sqref="I8:I26">
    <cfRule type="cellIs" dxfId="8" priority="73" stopIfTrue="1" operator="equal">
      <formula>"I"</formula>
    </cfRule>
    <cfRule type="cellIs" dxfId="7" priority="74" stopIfTrue="1" operator="equal">
      <formula>"A"</formula>
    </cfRule>
    <cfRule type="cellIs" dxfId="6" priority="75" stopIfTrue="1" operator="equal">
      <formula>"E"</formula>
    </cfRule>
  </conditionalFormatting>
  <dataValidations count="3">
    <dataValidation allowBlank="1" showInputMessage="1" showErrorMessage="1" promptTitle="Tipo da Função" prompt="ALI, AIE, EE, SE, CE" sqref="H27:H40" xr:uid="{00000000-0002-0000-0100-000000000000}">
      <formula1>0</formula1>
      <formula2>0</formula2>
    </dataValidation>
    <dataValidation allowBlank="1" showInputMessage="1" showErrorMessage="1" promptTitle="Tipo da Manutenção na Função" prompt="I - Inclusão  _x000a_A - Alteração  _x000a_E - Exclusão  _x000a_T - Teste" sqref="I8:I40" xr:uid="{00000000-0002-0000-0100-000001000000}"/>
    <dataValidation type="list" allowBlank="1" showInputMessage="1" showErrorMessage="1" promptTitle="Tipo da Função" prompt="ALI, AIE, EE, SE, CE" sqref="H8:H26" xr:uid="{A8008440-7AF8-4285-936A-69315443E13A}">
      <formula1>"ALI, AIE, EE, CE, SE"</formula1>
    </dataValidation>
  </dataValidations>
  <printOptions headings="1"/>
  <pageMargins left="0.39374999999999999" right="0.31527777777777777" top="0.23611111111111113" bottom="0.39375000000000004" header="0.51180555555555562" footer="0.23611111111111113"/>
  <pageSetup paperSize="9" scale="73" firstPageNumber="0" orientation="landscape" horizontalDpi="300" verticalDpi="300" r:id="rId1"/>
  <headerFooter alignWithMargins="0">
    <oddFooter>&amp;L&amp;P/&amp;N&amp;C&amp;D&amp;R  &amp;F - &amp;A         .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/>
  <dimension ref="A1:O61"/>
  <sheetViews>
    <sheetView showGridLines="0" zoomScaleNormal="100" zoomScaleSheetLayoutView="100" workbookViewId="0">
      <selection activeCell="O57" sqref="O57"/>
    </sheetView>
  </sheetViews>
  <sheetFormatPr defaultRowHeight="12.75"/>
  <cols>
    <col min="1" max="1" width="2.85546875" style="3" customWidth="1"/>
    <col min="2" max="2" width="8.28515625" style="3" customWidth="1"/>
    <col min="3" max="3" width="10.7109375" style="3" customWidth="1"/>
    <col min="4" max="4" width="2.28515625" style="3" customWidth="1"/>
    <col min="5" max="5" width="21.7109375" style="3" customWidth="1"/>
    <col min="6" max="6" width="5" style="3" customWidth="1"/>
    <col min="7" max="7" width="10.7109375" style="3" customWidth="1"/>
    <col min="8" max="8" width="4.7109375" style="3" customWidth="1"/>
    <col min="9" max="9" width="6.7109375" style="3" customWidth="1"/>
    <col min="10" max="10" width="4.7109375" style="3" customWidth="1"/>
    <col min="11" max="11" width="9.85546875" style="3" customWidth="1"/>
    <col min="12" max="12" width="7.28515625" style="3" customWidth="1"/>
    <col min="13" max="16384" width="9.140625" style="3"/>
  </cols>
  <sheetData>
    <row r="1" spans="1:15" ht="12" customHeight="1">
      <c r="A1" s="137" t="s">
        <v>79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</row>
    <row r="2" spans="1:15" ht="12" customHeight="1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</row>
    <row r="3" spans="1:15" ht="12" customHeight="1">
      <c r="A3" s="137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</row>
    <row r="4" spans="1:15" ht="12" customHeight="1">
      <c r="A4" s="138" t="str">
        <f>Contagem!A5&amp;" : "&amp;Contagem!F5</f>
        <v xml:space="preserve">Aplicação : </v>
      </c>
      <c r="B4" s="138"/>
      <c r="C4" s="138"/>
      <c r="D4" s="138"/>
      <c r="E4" s="138"/>
      <c r="F4" s="139" t="str">
        <f>Contagem!A6&amp;" : "&amp;Contagem!F6</f>
        <v xml:space="preserve">Projeto : </v>
      </c>
      <c r="G4" s="139"/>
      <c r="H4" s="139"/>
      <c r="I4" s="139"/>
      <c r="J4" s="139"/>
      <c r="K4" s="139"/>
      <c r="L4" s="139"/>
    </row>
    <row r="5" spans="1:15" ht="12" customHeight="1">
      <c r="A5" s="140" t="str">
        <f>Contagem!A7&amp;" : "&amp;Contagem!F7</f>
        <v xml:space="preserve">Responsável : </v>
      </c>
      <c r="B5" s="140"/>
      <c r="C5" s="140"/>
      <c r="D5" s="140"/>
      <c r="E5" s="140"/>
      <c r="F5" s="139" t="str">
        <f>Contagem!A8&amp;" : "&amp;Contagem!F8</f>
        <v xml:space="preserve">Revisor : </v>
      </c>
      <c r="G5" s="139"/>
      <c r="H5" s="139"/>
      <c r="I5" s="139"/>
      <c r="J5" s="139"/>
      <c r="K5" s="139"/>
      <c r="L5" s="139"/>
    </row>
    <row r="6" spans="1:15" ht="12" customHeight="1">
      <c r="A6" s="10" t="str">
        <f>Contagem!A4&amp;" : "&amp;Contagem!F4</f>
        <v>Empresa : TRIBUNAL REGIONAL DO TRABALHO DA 9ª REGIÃO</v>
      </c>
      <c r="B6" s="18"/>
      <c r="C6" s="18"/>
      <c r="D6" s="19"/>
      <c r="E6" s="19"/>
      <c r="F6" s="132" t="str">
        <f>Contagem!R4&amp;" = "&amp;VALUE(Contagem!T4)</f>
        <v>R$/PF = 0</v>
      </c>
      <c r="G6" s="132"/>
      <c r="H6" s="132" t="str">
        <f>" Custo= "&amp;DOLLAR(Contagem!W4)</f>
        <v xml:space="preserve"> Custo= $0.00</v>
      </c>
      <c r="I6" s="132"/>
      <c r="J6" s="132"/>
      <c r="K6" s="141" t="str">
        <f>"PF  = "&amp;VALUE(Contagem!W5)</f>
        <v>PF  = 99</v>
      </c>
      <c r="L6" s="141"/>
    </row>
    <row r="7" spans="1:15" ht="12" customHeight="1">
      <c r="A7" s="133" t="s">
        <v>80</v>
      </c>
      <c r="B7" s="133"/>
      <c r="C7" s="134" t="s">
        <v>81</v>
      </c>
      <c r="D7" s="134"/>
      <c r="E7" s="134"/>
      <c r="F7" s="134"/>
      <c r="G7" s="135" t="s">
        <v>82</v>
      </c>
      <c r="H7" s="135"/>
      <c r="I7" s="136" t="s">
        <v>83</v>
      </c>
      <c r="J7" s="136"/>
      <c r="K7" s="136"/>
      <c r="L7" s="136"/>
    </row>
    <row r="8" spans="1:15" ht="12" customHeight="1">
      <c r="A8" s="133"/>
      <c r="B8" s="133"/>
      <c r="C8" s="134"/>
      <c r="D8" s="134"/>
      <c r="E8" s="134"/>
      <c r="F8" s="134"/>
      <c r="G8" s="135"/>
      <c r="H8" s="135"/>
      <c r="I8" s="135"/>
      <c r="J8" s="136"/>
      <c r="K8" s="136"/>
      <c r="L8" s="136"/>
    </row>
    <row r="9" spans="1:15" ht="12" customHeight="1">
      <c r="A9" s="20"/>
      <c r="B9" s="21"/>
      <c r="C9" s="21"/>
      <c r="D9" s="21"/>
      <c r="E9" s="21"/>
      <c r="F9" s="21"/>
      <c r="G9" s="21"/>
      <c r="H9" s="21"/>
      <c r="I9" s="21"/>
      <c r="J9" s="21"/>
      <c r="K9" s="21"/>
      <c r="L9" s="22"/>
    </row>
    <row r="10" spans="1:15" ht="12" customHeight="1">
      <c r="A10" s="23"/>
      <c r="B10" s="3" t="s">
        <v>56</v>
      </c>
      <c r="C10" s="24">
        <f>COUNTIF(Funções!H:H,"EE") * 3</f>
        <v>15</v>
      </c>
      <c r="E10" s="25" t="s">
        <v>57</v>
      </c>
      <c r="F10" s="25" t="s">
        <v>84</v>
      </c>
      <c r="G10" s="24">
        <f>C10*3</f>
        <v>45</v>
      </c>
      <c r="I10" s="26"/>
      <c r="L10" s="27"/>
    </row>
    <row r="11" spans="1:15" ht="12" customHeight="1">
      <c r="A11" s="23"/>
      <c r="C11" s="24">
        <f>COUNTIF(Funções!H:H,"EE") * 4</f>
        <v>20</v>
      </c>
      <c r="E11" s="25" t="s">
        <v>41</v>
      </c>
      <c r="F11" s="25" t="s">
        <v>85</v>
      </c>
      <c r="G11" s="24">
        <f>C11*4</f>
        <v>80</v>
      </c>
      <c r="I11" s="26"/>
      <c r="L11" s="27"/>
    </row>
    <row r="12" spans="1:15" ht="12" customHeight="1">
      <c r="A12" s="23"/>
      <c r="C12" s="24">
        <f>COUNTIF(Funções!H:H,"EE") * 6</f>
        <v>30</v>
      </c>
      <c r="E12" s="25" t="s">
        <v>86</v>
      </c>
      <c r="F12" s="25" t="s">
        <v>87</v>
      </c>
      <c r="G12" s="24">
        <f>C12*6</f>
        <v>180</v>
      </c>
      <c r="I12" s="26"/>
      <c r="L12" s="28"/>
    </row>
    <row r="13" spans="1:15" ht="6.75" customHeight="1">
      <c r="A13" s="23"/>
      <c r="C13" s="21"/>
      <c r="G13" s="21"/>
      <c r="L13" s="27"/>
    </row>
    <row r="14" spans="1:15" ht="12" customHeight="1">
      <c r="A14" s="23"/>
      <c r="B14" s="29" t="s">
        <v>88</v>
      </c>
      <c r="C14" s="24">
        <f>SUM(C10:C12)</f>
        <v>65</v>
      </c>
      <c r="F14" s="29" t="s">
        <v>88</v>
      </c>
      <c r="G14" s="24">
        <f>SUM(G10:G12)</f>
        <v>305</v>
      </c>
      <c r="I14" s="30">
        <f>IF($G$45&lt;&gt;0,G14/$G$45,"")</f>
        <v>0.14972999509081983</v>
      </c>
      <c r="L14" s="27"/>
      <c r="O14" s="31"/>
    </row>
    <row r="15" spans="1:15" ht="6" customHeight="1">
      <c r="A15" s="32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33"/>
    </row>
    <row r="16" spans="1:15" ht="12" customHeight="1">
      <c r="A16" s="23"/>
      <c r="L16" s="27"/>
    </row>
    <row r="17" spans="1:12" ht="12" customHeight="1">
      <c r="A17" s="23"/>
      <c r="B17" s="3" t="s">
        <v>74</v>
      </c>
      <c r="C17" s="24">
        <f>COUNTIF(Funções!H:H,"SE") * 4</f>
        <v>12</v>
      </c>
      <c r="E17" s="25" t="s">
        <v>57</v>
      </c>
      <c r="F17" s="25" t="s">
        <v>85</v>
      </c>
      <c r="G17" s="24">
        <f>C17*4</f>
        <v>48</v>
      </c>
      <c r="L17" s="27"/>
    </row>
    <row r="18" spans="1:12" ht="12" customHeight="1">
      <c r="A18" s="23"/>
      <c r="C18" s="24">
        <f>COUNTIF(Funções!H:H,"SE") * 5</f>
        <v>15</v>
      </c>
      <c r="E18" s="25" t="s">
        <v>41</v>
      </c>
      <c r="F18" s="25" t="s">
        <v>89</v>
      </c>
      <c r="G18" s="24">
        <f>C18*5</f>
        <v>75</v>
      </c>
      <c r="L18" s="27"/>
    </row>
    <row r="19" spans="1:12" ht="12" customHeight="1">
      <c r="A19" s="23"/>
      <c r="C19" s="24">
        <f>COUNTIF(Funções!H:H,"SE") * 7</f>
        <v>21</v>
      </c>
      <c r="E19" s="25" t="s">
        <v>86</v>
      </c>
      <c r="F19" s="25" t="s">
        <v>90</v>
      </c>
      <c r="G19" s="24">
        <f>C19*7</f>
        <v>147</v>
      </c>
      <c r="L19" s="28"/>
    </row>
    <row r="20" spans="1:12" ht="6.75" customHeight="1">
      <c r="A20" s="23"/>
      <c r="C20" s="21"/>
      <c r="G20" s="21"/>
      <c r="L20" s="27"/>
    </row>
    <row r="21" spans="1:12" ht="12" customHeight="1">
      <c r="A21" s="23"/>
      <c r="B21" s="29" t="s">
        <v>88</v>
      </c>
      <c r="C21" s="24">
        <f>SUM(C17:C19)</f>
        <v>48</v>
      </c>
      <c r="F21" s="29" t="s">
        <v>88</v>
      </c>
      <c r="G21" s="24">
        <f>SUM(G17:G19)</f>
        <v>270</v>
      </c>
      <c r="I21" s="34">
        <f>IF($G$45&lt;&gt;0,G21/$G$45,"")</f>
        <v>0.13254786450662739</v>
      </c>
      <c r="L21" s="27"/>
    </row>
    <row r="22" spans="1:12" ht="6" customHeight="1">
      <c r="A22" s="32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33"/>
    </row>
    <row r="23" spans="1:12" ht="12" customHeight="1">
      <c r="A23" s="20"/>
      <c r="B23" s="21"/>
      <c r="D23" s="21"/>
      <c r="E23" s="21"/>
      <c r="F23" s="21"/>
      <c r="H23" s="21"/>
      <c r="I23" s="21"/>
      <c r="J23" s="21"/>
      <c r="K23" s="21"/>
      <c r="L23" s="22"/>
    </row>
    <row r="24" spans="1:12" ht="12" customHeight="1">
      <c r="A24" s="23"/>
      <c r="B24" s="3" t="s">
        <v>68</v>
      </c>
      <c r="C24" s="24">
        <f>COUNTIF(Funções!H:H,"CE") * 3</f>
        <v>12</v>
      </c>
      <c r="E24" s="25" t="s">
        <v>57</v>
      </c>
      <c r="F24" s="25" t="s">
        <v>84</v>
      </c>
      <c r="G24" s="24">
        <f>C24*3</f>
        <v>36</v>
      </c>
      <c r="L24" s="27"/>
    </row>
    <row r="25" spans="1:12" ht="12" customHeight="1">
      <c r="A25" s="23"/>
      <c r="C25" s="24">
        <f>COUNTIF(Funções!H:H,"CE") * 4</f>
        <v>16</v>
      </c>
      <c r="E25" s="25" t="s">
        <v>41</v>
      </c>
      <c r="F25" s="25" t="s">
        <v>85</v>
      </c>
      <c r="G25" s="24">
        <f>C25*4</f>
        <v>64</v>
      </c>
      <c r="L25" s="27"/>
    </row>
    <row r="26" spans="1:12" ht="12" customHeight="1">
      <c r="A26" s="23"/>
      <c r="C26" s="24">
        <f>COUNTIF(Funções!H:H,"CE") * 6</f>
        <v>24</v>
      </c>
      <c r="E26" s="25" t="s">
        <v>86</v>
      </c>
      <c r="F26" s="25" t="s">
        <v>87</v>
      </c>
      <c r="G26" s="24">
        <f>C26*6</f>
        <v>144</v>
      </c>
      <c r="L26" s="28"/>
    </row>
    <row r="27" spans="1:12" ht="6.75" customHeight="1">
      <c r="A27" s="23"/>
      <c r="C27" s="21"/>
      <c r="G27" s="21"/>
      <c r="L27" s="27"/>
    </row>
    <row r="28" spans="1:12" ht="12" customHeight="1">
      <c r="A28" s="23"/>
      <c r="B28" s="29" t="s">
        <v>88</v>
      </c>
      <c r="C28" s="24">
        <f>SUM(C24:C26)</f>
        <v>52</v>
      </c>
      <c r="F28" s="29" t="s">
        <v>88</v>
      </c>
      <c r="G28" s="24">
        <f>SUM(G24:G26)</f>
        <v>244</v>
      </c>
      <c r="I28" s="35">
        <f>IF($G$45&lt;&gt;0,G28/$G$45,"")</f>
        <v>0.11978399607265587</v>
      </c>
      <c r="L28" s="27"/>
    </row>
    <row r="29" spans="1:12" ht="6" customHeight="1">
      <c r="A29" s="32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33"/>
    </row>
    <row r="30" spans="1:12" ht="12" customHeight="1">
      <c r="A30" s="20"/>
      <c r="B30" s="21"/>
      <c r="D30" s="21"/>
      <c r="E30" s="21"/>
      <c r="F30" s="21"/>
      <c r="H30" s="21"/>
      <c r="I30" s="21"/>
      <c r="J30" s="21"/>
      <c r="K30" s="21"/>
      <c r="L30" s="22"/>
    </row>
    <row r="31" spans="1:12" ht="12" customHeight="1">
      <c r="A31" s="23"/>
      <c r="B31" s="3" t="s">
        <v>91</v>
      </c>
      <c r="C31" s="24">
        <f>COUNTIF(CF,"ALIL")</f>
        <v>0</v>
      </c>
      <c r="E31" s="3" t="s">
        <v>57</v>
      </c>
      <c r="F31" s="3" t="s">
        <v>90</v>
      </c>
      <c r="G31" s="24">
        <f>C31*7</f>
        <v>0</v>
      </c>
      <c r="L31" s="27"/>
    </row>
    <row r="32" spans="1:12" ht="12" customHeight="1">
      <c r="A32" s="23"/>
      <c r="C32" s="24">
        <f>COUNTIF(CF,"ALIA")</f>
        <v>0</v>
      </c>
      <c r="E32" s="3" t="s">
        <v>41</v>
      </c>
      <c r="F32" s="3" t="s">
        <v>92</v>
      </c>
      <c r="G32" s="24">
        <f>C32*10</f>
        <v>0</v>
      </c>
      <c r="L32" s="27"/>
    </row>
    <row r="33" spans="1:12" ht="12" customHeight="1">
      <c r="A33" s="23"/>
      <c r="C33" s="24">
        <f>COUNTIF(CF,"ALIH")</f>
        <v>0</v>
      </c>
      <c r="E33" s="3" t="s">
        <v>86</v>
      </c>
      <c r="F33" s="3" t="s">
        <v>93</v>
      </c>
      <c r="G33" s="24">
        <f>C33*15</f>
        <v>0</v>
      </c>
      <c r="L33" s="28"/>
    </row>
    <row r="34" spans="1:12" ht="6.75" customHeight="1">
      <c r="A34" s="23"/>
      <c r="C34" s="21"/>
      <c r="G34" s="21"/>
      <c r="L34" s="27"/>
    </row>
    <row r="35" spans="1:12" ht="12" customHeight="1">
      <c r="A35" s="23"/>
      <c r="B35" s="29" t="s">
        <v>88</v>
      </c>
      <c r="C35" s="24">
        <f>SUM(C31:C33)</f>
        <v>0</v>
      </c>
      <c r="F35" s="29" t="s">
        <v>88</v>
      </c>
      <c r="G35" s="24">
        <f>SUM(G31:G33)</f>
        <v>0</v>
      </c>
      <c r="I35" s="36">
        <f>IF($G$45&lt;&gt;0,G35/$G$45,"")</f>
        <v>0</v>
      </c>
      <c r="L35" s="27"/>
    </row>
    <row r="36" spans="1:12" ht="6" customHeight="1">
      <c r="A36" s="32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33"/>
    </row>
    <row r="37" spans="1:12" ht="12" customHeight="1">
      <c r="A37" s="20"/>
      <c r="B37" s="21"/>
      <c r="D37" s="21"/>
      <c r="E37" s="21"/>
      <c r="F37" s="21"/>
      <c r="H37" s="21"/>
      <c r="I37" s="21"/>
      <c r="J37" s="21"/>
      <c r="K37" s="21"/>
      <c r="L37" s="22"/>
    </row>
    <row r="38" spans="1:12" ht="12" customHeight="1">
      <c r="A38" s="23"/>
      <c r="B38" s="3" t="s">
        <v>39</v>
      </c>
      <c r="C38" s="24">
        <f>COUNTIF(Funções!H:H,"AIE") * 5</f>
        <v>35</v>
      </c>
      <c r="E38" s="3" t="s">
        <v>57</v>
      </c>
      <c r="F38" s="3" t="s">
        <v>89</v>
      </c>
      <c r="G38" s="24">
        <f>C38*5</f>
        <v>175</v>
      </c>
      <c r="L38" s="27"/>
    </row>
    <row r="39" spans="1:12" ht="12" customHeight="1">
      <c r="A39" s="23"/>
      <c r="C39" s="24">
        <f>COUNTIF(Funções!H:H,"AIE") * 7</f>
        <v>49</v>
      </c>
      <c r="E39" s="3" t="s">
        <v>41</v>
      </c>
      <c r="F39" s="3" t="s">
        <v>90</v>
      </c>
      <c r="G39" s="24">
        <f>C39*7</f>
        <v>343</v>
      </c>
      <c r="L39" s="27"/>
    </row>
    <row r="40" spans="1:12" ht="12" customHeight="1">
      <c r="A40" s="23"/>
      <c r="C40" s="24">
        <f>COUNTIF(Funções!H:H,"AIE") * 10</f>
        <v>70</v>
      </c>
      <c r="E40" s="3" t="s">
        <v>86</v>
      </c>
      <c r="F40" s="3" t="s">
        <v>92</v>
      </c>
      <c r="G40" s="24">
        <f>C40*10</f>
        <v>700</v>
      </c>
      <c r="L40" s="28"/>
    </row>
    <row r="41" spans="1:12" ht="6.75" customHeight="1">
      <c r="A41" s="23"/>
      <c r="C41" s="21"/>
      <c r="G41" s="21"/>
      <c r="L41" s="27"/>
    </row>
    <row r="42" spans="1:12" ht="12" customHeight="1">
      <c r="A42" s="23"/>
      <c r="B42" s="29" t="s">
        <v>88</v>
      </c>
      <c r="C42" s="24">
        <f>SUM(C38:C40)</f>
        <v>154</v>
      </c>
      <c r="F42" s="29" t="s">
        <v>88</v>
      </c>
      <c r="G42" s="24">
        <f>SUM(G38:G40)</f>
        <v>1218</v>
      </c>
      <c r="I42" s="37">
        <f>IF($G$45&lt;&gt;0,G42/$G$45,"")</f>
        <v>0.59793814432989689</v>
      </c>
      <c r="L42" s="27"/>
    </row>
    <row r="43" spans="1:12" ht="6" customHeight="1">
      <c r="A43" s="32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33"/>
    </row>
    <row r="44" spans="1:12" ht="12" customHeight="1">
      <c r="A44" s="23"/>
      <c r="L44" s="27"/>
    </row>
    <row r="45" spans="1:12" ht="12" customHeight="1">
      <c r="A45" s="23"/>
      <c r="B45" s="3" t="s">
        <v>94</v>
      </c>
      <c r="G45" s="24">
        <f>SUM(G14+G21+G28+G35+G42)</f>
        <v>2037</v>
      </c>
      <c r="L45" s="27"/>
    </row>
    <row r="46" spans="1:12" ht="12" customHeight="1">
      <c r="A46" s="23"/>
      <c r="B46" s="3" t="s">
        <v>95</v>
      </c>
      <c r="G46" s="24">
        <f>(C10+C11+C12)*4+(C17+C18+C19)*5+(C24+C25+C26)*4+(C31+C32+C33)*7+(C38+C39+C40)*5</f>
        <v>1478</v>
      </c>
      <c r="L46" s="27"/>
    </row>
    <row r="47" spans="1:12" ht="12" customHeight="1">
      <c r="A47" s="23"/>
      <c r="B47" s="3" t="s">
        <v>96</v>
      </c>
      <c r="G47" s="24">
        <f>(C31+C32+C33)*35+(C38+C39+C40)*15</f>
        <v>2310</v>
      </c>
      <c r="L47" s="27"/>
    </row>
    <row r="48" spans="1:12" ht="12" customHeight="1">
      <c r="A48" s="23"/>
      <c r="L48" s="27"/>
    </row>
    <row r="49" spans="1:12" ht="12" customHeight="1">
      <c r="A49" s="23"/>
      <c r="L49" s="27"/>
    </row>
    <row r="50" spans="1:12" ht="12" customHeight="1">
      <c r="A50" s="23"/>
      <c r="L50" s="27"/>
    </row>
    <row r="51" spans="1:12" ht="13.5" customHeight="1">
      <c r="A51" s="23"/>
      <c r="L51" s="27"/>
    </row>
    <row r="52" spans="1:12" ht="12" customHeight="1">
      <c r="A52" s="20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2"/>
    </row>
    <row r="53" spans="1:12" ht="12" customHeight="1">
      <c r="A53" s="23"/>
      <c r="B53" s="3" t="s">
        <v>97</v>
      </c>
      <c r="L53" s="27"/>
    </row>
    <row r="54" spans="1:12" ht="12" customHeight="1">
      <c r="A54" s="23"/>
      <c r="E54" s="38" t="s">
        <v>6</v>
      </c>
      <c r="F54" s="38" t="s">
        <v>98</v>
      </c>
      <c r="G54" s="38" t="s">
        <v>99</v>
      </c>
      <c r="L54" s="27"/>
    </row>
    <row r="55" spans="1:12" ht="12" customHeight="1">
      <c r="A55" s="23"/>
      <c r="B55" s="131" t="s">
        <v>100</v>
      </c>
      <c r="C55" s="131"/>
      <c r="D55" s="131"/>
      <c r="E55" s="5">
        <f>SUMIF(Funções!$I$8:$I$40,"I",Funções!$O$8:$O$40)</f>
        <v>99</v>
      </c>
      <c r="F55" s="5">
        <f>Contagem!U10</f>
        <v>1</v>
      </c>
      <c r="G55" s="39">
        <f>F55*E55</f>
        <v>99</v>
      </c>
      <c r="H55" s="40"/>
      <c r="I55" s="40"/>
      <c r="J55" s="40"/>
      <c r="K55" s="41" t="s">
        <v>101</v>
      </c>
      <c r="L55" s="27"/>
    </row>
    <row r="56" spans="1:12" ht="12" customHeight="1">
      <c r="A56" s="23"/>
      <c r="B56" s="131" t="s">
        <v>102</v>
      </c>
      <c r="C56" s="131"/>
      <c r="D56" s="131"/>
      <c r="E56" s="5">
        <f>SUMIF(Funções!$I$8:$I$40,"A",Funções!$O$8:$O$40)</f>
        <v>0</v>
      </c>
      <c r="F56" s="5">
        <f>Contagem!U11</f>
        <v>1</v>
      </c>
      <c r="G56" s="39">
        <f>F56*E56</f>
        <v>0</v>
      </c>
      <c r="H56" s="40"/>
      <c r="I56" s="40"/>
      <c r="J56" s="40"/>
      <c r="K56" s="42">
        <f>Contagem!W5</f>
        <v>99</v>
      </c>
      <c r="L56" s="27"/>
    </row>
    <row r="57" spans="1:12" ht="12" customHeight="1">
      <c r="A57" s="23"/>
      <c r="B57" s="131" t="s">
        <v>103</v>
      </c>
      <c r="C57" s="131"/>
      <c r="D57" s="131"/>
      <c r="E57" s="5">
        <f>SUMIF(Funções!$I$8:$I$40,"E",Funções!$O$8:$O$40)</f>
        <v>0</v>
      </c>
      <c r="F57" s="5">
        <f>Contagem!U12</f>
        <v>1</v>
      </c>
      <c r="G57" s="39">
        <f>F57*E57</f>
        <v>0</v>
      </c>
      <c r="H57" s="40"/>
      <c r="I57" s="40"/>
      <c r="J57" s="40"/>
      <c r="L57" s="27"/>
    </row>
    <row r="58" spans="1:12" ht="12" customHeight="1">
      <c r="A58" s="23"/>
      <c r="B58" s="131" t="s">
        <v>104</v>
      </c>
      <c r="C58" s="131"/>
      <c r="D58" s="131"/>
      <c r="E58" s="5">
        <f>SUMIF(Funções!$I$8:$I$40,"T",Funções!$O$8:$O$40)</f>
        <v>0</v>
      </c>
      <c r="F58" s="5">
        <f>Contagem!U13</f>
        <v>0</v>
      </c>
      <c r="G58" s="39">
        <f>F58*E58</f>
        <v>0</v>
      </c>
      <c r="H58" s="40"/>
      <c r="I58" s="40"/>
      <c r="J58" s="40"/>
      <c r="L58" s="27"/>
    </row>
    <row r="59" spans="1:12" ht="12" customHeight="1">
      <c r="A59" s="43"/>
      <c r="B59" s="44"/>
      <c r="C59" s="45"/>
      <c r="D59" s="46"/>
      <c r="E59" s="47"/>
      <c r="F59" s="46"/>
      <c r="G59" s="48"/>
      <c r="H59" s="49"/>
      <c r="I59" s="49"/>
      <c r="J59" s="49"/>
      <c r="K59" s="50"/>
      <c r="L59" s="51"/>
    </row>
    <row r="60" spans="1:12" ht="12" customHeight="1">
      <c r="B60" s="52"/>
      <c r="C60" s="53"/>
      <c r="E60" s="54"/>
      <c r="G60" s="55"/>
      <c r="H60" s="40"/>
      <c r="I60" s="40"/>
      <c r="J60" s="40"/>
      <c r="K60" s="56"/>
    </row>
    <row r="61" spans="1:12" ht="12" customHeight="1">
      <c r="B61" s="52"/>
      <c r="C61" s="53"/>
      <c r="E61" s="54"/>
      <c r="G61" s="55"/>
      <c r="H61" s="40"/>
      <c r="I61" s="40"/>
      <c r="J61" s="40"/>
      <c r="K61" s="56"/>
    </row>
  </sheetData>
  <mergeCells count="18">
    <mergeCell ref="K7:L8"/>
    <mergeCell ref="A1:L3"/>
    <mergeCell ref="A4:E4"/>
    <mergeCell ref="F4:L4"/>
    <mergeCell ref="A5:E5"/>
    <mergeCell ref="F5:L5"/>
    <mergeCell ref="K6:L6"/>
    <mergeCell ref="H6:J6"/>
    <mergeCell ref="A7:B8"/>
    <mergeCell ref="C7:F8"/>
    <mergeCell ref="G7:G8"/>
    <mergeCell ref="H7:H8"/>
    <mergeCell ref="I7:J8"/>
    <mergeCell ref="B55:D55"/>
    <mergeCell ref="B56:D56"/>
    <mergeCell ref="B58:D58"/>
    <mergeCell ref="B57:D57"/>
    <mergeCell ref="F6:G6"/>
  </mergeCells>
  <phoneticPr fontId="0" type="noConversion"/>
  <pageMargins left="0.74791666666666667" right="0.74791666666666667" top="1.3097222222222222" bottom="0.98402777777777783" header="0.51180555555555562" footer="0.49236111111111114"/>
  <pageSetup paperSize="9" firstPageNumber="0" orientation="portrait" horizontalDpi="300" verticalDpi="300"/>
  <headerFooter alignWithMargins="0">
    <oddFooter>&amp;R&amp;"Tahoma,Normal"&amp;8&amp;F - &amp;A</oddFooter>
  </headerFooter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"/>
  <sheetViews>
    <sheetView topLeftCell="A6" workbookViewId="0">
      <selection activeCell="B27" sqref="B27"/>
    </sheetView>
  </sheetViews>
  <sheetFormatPr defaultRowHeight="14.25" customHeight="1"/>
  <cols>
    <col min="1" max="1" width="41.85546875" customWidth="1"/>
    <col min="2" max="2" width="11.140625" style="67" bestFit="1" customWidth="1"/>
    <col min="3" max="3" width="8.42578125" customWidth="1"/>
    <col min="4" max="4" width="8.140625" customWidth="1"/>
    <col min="10" max="10" width="9.140625" customWidth="1"/>
  </cols>
  <sheetData>
    <row r="1" spans="1:4" s="65" customFormat="1" ht="14.25" customHeight="1">
      <c r="A1" s="84" t="s">
        <v>105</v>
      </c>
      <c r="B1" s="85" t="s">
        <v>6</v>
      </c>
    </row>
    <row r="2" spans="1:4" ht="14.25" customHeight="1">
      <c r="A2" s="79"/>
      <c r="B2" s="80"/>
    </row>
    <row r="3" spans="1:4" ht="14.25" customHeight="1">
      <c r="A3" s="81" t="s">
        <v>88</v>
      </c>
      <c r="B3" s="82">
        <f>VALUE(Contagem!W5)</f>
        <v>99</v>
      </c>
    </row>
    <row r="5" spans="1:4" ht="14.25" customHeight="1">
      <c r="A5" s="86" t="s">
        <v>106</v>
      </c>
      <c r="B5" s="90">
        <v>1</v>
      </c>
    </row>
    <row r="7" spans="1:4" ht="14.25" customHeight="1">
      <c r="A7" s="65" t="s">
        <v>107</v>
      </c>
      <c r="B7"/>
    </row>
    <row r="8" spans="1:4" ht="14.25" customHeight="1">
      <c r="A8" s="65" t="s">
        <v>108</v>
      </c>
      <c r="B8"/>
    </row>
    <row r="9" spans="1:4" ht="14.25" customHeight="1">
      <c r="A9" s="83" t="s">
        <v>109</v>
      </c>
      <c r="B9" s="68">
        <v>0.23</v>
      </c>
      <c r="D9" s="66"/>
    </row>
    <row r="10" spans="1:4" ht="14.25" customHeight="1">
      <c r="A10" s="69" t="s">
        <v>110</v>
      </c>
      <c r="B10" s="70">
        <f>B3/B9</f>
        <v>430.43478260869563</v>
      </c>
    </row>
    <row r="11" spans="1:4" ht="14.25" customHeight="1">
      <c r="A11" s="71" t="s">
        <v>111</v>
      </c>
      <c r="B11" s="70">
        <v>120</v>
      </c>
    </row>
    <row r="12" spans="1:4" ht="14.25" customHeight="1">
      <c r="A12" s="72" t="s">
        <v>112</v>
      </c>
      <c r="B12" s="95">
        <f>CEILING(B10/(B5*B11),1)</f>
        <v>4</v>
      </c>
    </row>
    <row r="14" spans="1:4" ht="14.25" customHeight="1">
      <c r="A14" s="73" t="s">
        <v>113</v>
      </c>
      <c r="B14" s="74"/>
      <c r="D14" s="66"/>
    </row>
    <row r="15" spans="1:4" ht="14.25" customHeight="1">
      <c r="A15" s="75" t="s">
        <v>114</v>
      </c>
      <c r="B15" s="76">
        <f>B$10*0.2</f>
        <v>86.086956521739125</v>
      </c>
      <c r="D15" s="66"/>
    </row>
    <row r="16" spans="1:4" ht="14.25" customHeight="1">
      <c r="A16" s="75" t="s">
        <v>115</v>
      </c>
      <c r="B16" s="76">
        <f>B$10*0.3</f>
        <v>129.13043478260869</v>
      </c>
    </row>
    <row r="17" spans="1:2" ht="14.25" customHeight="1">
      <c r="A17" s="75" t="s">
        <v>116</v>
      </c>
      <c r="B17" s="76">
        <f>B$10*0.4</f>
        <v>172.17391304347825</v>
      </c>
    </row>
    <row r="18" spans="1:2" ht="14.25" customHeight="1">
      <c r="A18" s="77" t="s">
        <v>117</v>
      </c>
      <c r="B18" s="78">
        <f>B$10*0.1</f>
        <v>43.043478260869563</v>
      </c>
    </row>
    <row r="19" spans="1:2" ht="14.25" customHeight="1">
      <c r="B19"/>
    </row>
    <row r="20" spans="1:2" ht="14.25" customHeight="1">
      <c r="A20" s="73" t="s">
        <v>118</v>
      </c>
      <c r="B20" s="74"/>
    </row>
    <row r="21" spans="1:2" ht="14.25" customHeight="1">
      <c r="A21" s="75" t="s">
        <v>114</v>
      </c>
      <c r="B21" s="76">
        <f>(B$10*0.2)/$B$5</f>
        <v>86.086956521739125</v>
      </c>
    </row>
    <row r="22" spans="1:2" ht="14.25" customHeight="1">
      <c r="A22" s="75" t="s">
        <v>115</v>
      </c>
      <c r="B22" s="76">
        <f>B$10*0.3/$B$5</f>
        <v>129.13043478260869</v>
      </c>
    </row>
    <row r="23" spans="1:2" ht="14.25" customHeight="1">
      <c r="A23" s="75" t="s">
        <v>116</v>
      </c>
      <c r="B23" s="76">
        <f>B$10*0.4/$B$5</f>
        <v>172.17391304347825</v>
      </c>
    </row>
    <row r="24" spans="1:2" ht="14.25" customHeight="1">
      <c r="A24" s="77" t="s">
        <v>117</v>
      </c>
      <c r="B24" s="78">
        <f>B$10*0.1/$B$5</f>
        <v>43.043478260869563</v>
      </c>
    </row>
    <row r="26" spans="1:2" ht="14.25" customHeight="1">
      <c r="A26" s="73" t="s">
        <v>119</v>
      </c>
      <c r="B26" s="74"/>
    </row>
    <row r="27" spans="1:2" ht="14.25" customHeight="1">
      <c r="A27" s="75" t="s">
        <v>114</v>
      </c>
      <c r="B27" s="76">
        <f>$B$3*0.2/$B$5</f>
        <v>19.8</v>
      </c>
    </row>
    <row r="28" spans="1:2" ht="14.25" customHeight="1">
      <c r="A28" s="75" t="s">
        <v>115</v>
      </c>
      <c r="B28" s="76">
        <f>$B$3*0.3/$B$5</f>
        <v>29.7</v>
      </c>
    </row>
    <row r="29" spans="1:2" ht="14.25" customHeight="1">
      <c r="A29" s="75" t="s">
        <v>116</v>
      </c>
      <c r="B29" s="76">
        <f>$B$3*0.4/$B$5</f>
        <v>39.6</v>
      </c>
    </row>
    <row r="30" spans="1:2" ht="14.25" customHeight="1">
      <c r="A30" s="77" t="s">
        <v>117</v>
      </c>
      <c r="B30" s="78">
        <f>$B$3*0.1/$B$5</f>
        <v>9.9</v>
      </c>
    </row>
    <row r="32" spans="1:2" ht="14.25" customHeight="1">
      <c r="A32" s="97" t="s">
        <v>120</v>
      </c>
      <c r="B32" s="96">
        <f>B3/(19*LN(B3)-42)</f>
        <v>2.18507944466957</v>
      </c>
    </row>
  </sheetData>
  <pageMargins left="0.511811024" right="0.511811024" top="0.78740157499999996" bottom="0.78740157499999996" header="0.31496062000000002" footer="0.31496062000000002"/>
  <pageSetup paperSize="9" orientation="landscape" horizontalDpi="4294967294" verticalDpi="4294967294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B9024-0BDD-4247-945D-188B9CD3E723}">
  <dimension ref="A1:G14"/>
  <sheetViews>
    <sheetView workbookViewId="0">
      <selection activeCell="F23" sqref="F23"/>
    </sheetView>
  </sheetViews>
  <sheetFormatPr defaultRowHeight="12.75"/>
  <sheetData>
    <row r="1" spans="1:7" ht="15">
      <c r="A1" s="150" t="s">
        <v>30</v>
      </c>
      <c r="B1" s="151" t="s">
        <v>57</v>
      </c>
      <c r="C1" s="151" t="s">
        <v>41</v>
      </c>
      <c r="D1" s="151" t="s">
        <v>86</v>
      </c>
    </row>
    <row r="2" spans="1:7" ht="15">
      <c r="A2" s="151" t="s">
        <v>91</v>
      </c>
      <c r="B2" s="151">
        <v>7</v>
      </c>
      <c r="C2" s="151">
        <v>10</v>
      </c>
      <c r="D2" s="151">
        <v>15</v>
      </c>
    </row>
    <row r="3" spans="1:7" ht="15">
      <c r="A3" s="151" t="s">
        <v>39</v>
      </c>
      <c r="B3" s="151">
        <v>5</v>
      </c>
      <c r="C3" s="151">
        <v>7</v>
      </c>
      <c r="D3" s="151">
        <v>10</v>
      </c>
    </row>
    <row r="4" spans="1:7" ht="15">
      <c r="A4" s="151" t="s">
        <v>56</v>
      </c>
      <c r="B4" s="151">
        <v>3</v>
      </c>
      <c r="C4" s="151">
        <v>4</v>
      </c>
      <c r="D4" s="151">
        <v>6</v>
      </c>
    </row>
    <row r="5" spans="1:7" ht="15">
      <c r="A5" s="151" t="s">
        <v>68</v>
      </c>
      <c r="B5" s="151">
        <v>3</v>
      </c>
      <c r="C5" s="151">
        <v>4</v>
      </c>
      <c r="D5" s="151">
        <v>6</v>
      </c>
    </row>
    <row r="6" spans="1:7" ht="15">
      <c r="A6" s="151" t="s">
        <v>74</v>
      </c>
      <c r="B6" s="151">
        <v>4</v>
      </c>
      <c r="C6" s="151">
        <v>5</v>
      </c>
      <c r="D6" s="151">
        <v>7</v>
      </c>
    </row>
    <row r="8" spans="1:7" ht="15">
      <c r="A8" s="152"/>
      <c r="B8" s="152"/>
      <c r="C8" s="152"/>
      <c r="D8" s="152"/>
      <c r="E8" s="152"/>
      <c r="F8" s="152"/>
      <c r="G8" s="152"/>
    </row>
    <row r="9" spans="1:7" ht="16.5">
      <c r="A9" s="153" t="s">
        <v>121</v>
      </c>
      <c r="B9" s="154"/>
      <c r="C9" s="154"/>
      <c r="D9" s="154"/>
      <c r="E9" s="154"/>
      <c r="F9" s="154"/>
      <c r="G9" s="154"/>
    </row>
    <row r="10" spans="1:7" ht="15">
      <c r="A10" s="155" t="s">
        <v>122</v>
      </c>
      <c r="B10" s="155"/>
      <c r="C10" s="155"/>
      <c r="D10" s="155"/>
      <c r="E10" s="155"/>
      <c r="F10" s="155"/>
      <c r="G10" s="155"/>
    </row>
    <row r="11" spans="1:7" ht="15">
      <c r="A11" s="155" t="s">
        <v>123</v>
      </c>
      <c r="B11" s="155"/>
      <c r="C11" s="155"/>
      <c r="D11" s="155"/>
      <c r="E11" s="155"/>
      <c r="F11" s="155"/>
      <c r="G11" s="155"/>
    </row>
    <row r="12" spans="1:7" ht="15">
      <c r="A12" s="155" t="s">
        <v>124</v>
      </c>
      <c r="B12" s="155"/>
      <c r="C12" s="155"/>
      <c r="D12" s="155"/>
      <c r="E12" s="155"/>
      <c r="F12" s="155"/>
      <c r="G12" s="155"/>
    </row>
    <row r="13" spans="1:7" ht="15">
      <c r="A13" s="155" t="s">
        <v>125</v>
      </c>
      <c r="B13" s="155"/>
      <c r="C13" s="155"/>
      <c r="D13" s="155"/>
      <c r="E13" s="155"/>
      <c r="F13" s="155"/>
      <c r="G13" s="155"/>
    </row>
    <row r="14" spans="1:7" ht="15">
      <c r="A14" s="155" t="s">
        <v>126</v>
      </c>
      <c r="B14" s="155"/>
      <c r="C14" s="155"/>
      <c r="D14" s="155"/>
      <c r="E14" s="155"/>
      <c r="F14" s="155"/>
      <c r="G14" s="155"/>
    </row>
  </sheetData>
  <mergeCells count="6">
    <mergeCell ref="A9:G9"/>
    <mergeCell ref="A10:G10"/>
    <mergeCell ref="A11:G11"/>
    <mergeCell ref="A12:G12"/>
    <mergeCell ref="A13:G13"/>
    <mergeCell ref="A14:G14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9b4b8e-7b1d-49c1-8596-c2b95aab0e3c" xsi:nil="true"/>
    <lcf76f155ced4ddcb4097134ff3c332f xmlns="52640c88-ebe0-41b1-857e-1ab79fe23e9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A823993FF0E742B4C8F0BB8A8BE375" ma:contentTypeVersion="11" ma:contentTypeDescription="Crie um novo documento." ma:contentTypeScope="" ma:versionID="f14c8c50a470fab9a612cebd2f1a0f14">
  <xsd:schema xmlns:xsd="http://www.w3.org/2001/XMLSchema" xmlns:xs="http://www.w3.org/2001/XMLSchema" xmlns:p="http://schemas.microsoft.com/office/2006/metadata/properties" xmlns:ns2="52640c88-ebe0-41b1-857e-1ab79fe23e91" xmlns:ns3="859b4b8e-7b1d-49c1-8596-c2b95aab0e3c" targetNamespace="http://schemas.microsoft.com/office/2006/metadata/properties" ma:root="true" ma:fieldsID="71f0868fa3e57e798dfcc0222afb36b0" ns2:_="" ns3:_="">
    <xsd:import namespace="52640c88-ebe0-41b1-857e-1ab79fe23e91"/>
    <xsd:import namespace="859b4b8e-7b1d-49c1-8596-c2b95aab0e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40c88-ebe0-41b1-857e-1ab79fe23e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0ef6089c-5148-4909-88ac-65974e5b7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9b4b8e-7b1d-49c1-8596-c2b95aab0e3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626cd34-13c3-48e0-aebf-fe95dae73194}" ma:internalName="TaxCatchAll" ma:showField="CatchAllData" ma:web="859b4b8e-7b1d-49c1-8596-c2b95aab0e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E81C96-5572-4A67-89CA-4A539944468A}"/>
</file>

<file path=customXml/itemProps2.xml><?xml version="1.0" encoding="utf-8"?>
<ds:datastoreItem xmlns:ds="http://schemas.openxmlformats.org/officeDocument/2006/customXml" ds:itemID="{B5320426-33A6-482E-8FD5-896A72C16466}"/>
</file>

<file path=customXml/itemProps3.xml><?xml version="1.0" encoding="utf-8"?>
<ds:datastoreItem xmlns:ds="http://schemas.openxmlformats.org/officeDocument/2006/customXml" ds:itemID="{8946F369-5961-484D-BA92-36EDF7E2F7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Modelo de Contagem de Pontos de Função</dc:title>
  <dc:subject/>
  <dc:creator>Guilherme Simões e Carlos Vazqu</dc:creator>
  <cp:keywords/>
  <dc:description/>
  <cp:lastModifiedBy/>
  <cp:revision>1</cp:revision>
  <dcterms:created xsi:type="dcterms:W3CDTF">2001-07-23T10:50:56Z</dcterms:created>
  <dcterms:modified xsi:type="dcterms:W3CDTF">2025-11-17T16:46:17Z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0x01010011A823993FF0E742B4C8F0BB8A8BE375</vt:lpwstr>
  </property>
</Properties>
</file>